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ylvainROULAND\Desktop\"/>
    </mc:Choice>
  </mc:AlternateContent>
  <xr:revisionPtr revIDLastSave="0" documentId="13_ncr:1_{576B5599-1686-427D-B283-214DB6C7E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ck" sheetId="1" r:id="rId1"/>
    <sheet name="Boost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30" i="3"/>
  <c r="F30" i="1"/>
  <c r="F31" i="1"/>
  <c r="F15" i="1"/>
  <c r="F15" i="3"/>
  <c r="B7" i="4"/>
  <c r="B8" i="4"/>
  <c r="B8" i="3"/>
  <c r="F21" i="3"/>
  <c r="F19" i="1"/>
  <c r="F22" i="3"/>
  <c r="F18" i="3"/>
  <c r="F19" i="3" s="1"/>
  <c r="F4" i="3"/>
  <c r="F3" i="3"/>
  <c r="F12" i="3"/>
  <c r="F10" i="3"/>
  <c r="F20" i="1"/>
  <c r="F22" i="1"/>
  <c r="F21" i="1"/>
  <c r="F12" i="1"/>
  <c r="B8" i="1"/>
  <c r="F3" i="1"/>
  <c r="A15" i="1" s="1"/>
  <c r="F10" i="1"/>
  <c r="F4" i="1"/>
  <c r="F5" i="3" l="1"/>
  <c r="F6" i="3" s="1"/>
  <c r="B14" i="3"/>
  <c r="D15" i="3" s="1"/>
  <c r="F14" i="3"/>
  <c r="F24" i="3"/>
  <c r="F25" i="3" s="1"/>
  <c r="F20" i="3"/>
  <c r="A15" i="3"/>
  <c r="F18" i="1"/>
  <c r="F14" i="1" s="1"/>
  <c r="F24" i="1"/>
  <c r="F25" i="1" s="1"/>
  <c r="A16" i="1"/>
  <c r="F5" i="1"/>
  <c r="B14" i="1" s="1"/>
  <c r="D15" i="1" s="1"/>
  <c r="B15" i="3" l="1"/>
  <c r="D16" i="3" s="1"/>
  <c r="F6" i="1"/>
  <c r="A16" i="3"/>
  <c r="B16" i="3" s="1"/>
  <c r="D17" i="3" s="1"/>
  <c r="B16" i="1"/>
  <c r="D17" i="1" s="1"/>
  <c r="B15" i="1"/>
  <c r="D16" i="1" s="1"/>
  <c r="A17" i="1"/>
  <c r="C16" i="1" l="1"/>
  <c r="C14" i="3"/>
  <c r="C15" i="3"/>
  <c r="A17" i="3"/>
  <c r="B17" i="3" s="1"/>
  <c r="D18" i="3" s="1"/>
  <c r="C15" i="1"/>
  <c r="C14" i="1"/>
  <c r="B17" i="1"/>
  <c r="A18" i="1"/>
  <c r="C17" i="1" l="1"/>
  <c r="D18" i="1"/>
  <c r="A18" i="3"/>
  <c r="B18" i="3" s="1"/>
  <c r="D19" i="3" s="1"/>
  <c r="C16" i="3"/>
  <c r="B18" i="1"/>
  <c r="D19" i="1" s="1"/>
  <c r="A19" i="1"/>
  <c r="A20" i="1" s="1"/>
  <c r="C17" i="3" l="1"/>
  <c r="A19" i="3"/>
  <c r="B19" i="3" s="1"/>
  <c r="D20" i="3" s="1"/>
  <c r="C18" i="1"/>
  <c r="B20" i="1"/>
  <c r="D21" i="1" s="1"/>
  <c r="B19" i="1"/>
  <c r="D20" i="1" s="1"/>
  <c r="A21" i="1"/>
  <c r="A22" i="1"/>
  <c r="A20" i="3" l="1"/>
  <c r="B20" i="3" s="1"/>
  <c r="D21" i="3" s="1"/>
  <c r="C18" i="3"/>
  <c r="C19" i="1"/>
  <c r="C20" i="1"/>
  <c r="B21" i="1"/>
  <c r="D22" i="1" s="1"/>
  <c r="B22" i="1"/>
  <c r="D23" i="1" s="1"/>
  <c r="A23" i="1"/>
  <c r="A21" i="3" l="1"/>
  <c r="B21" i="3" s="1"/>
  <c r="D22" i="3" s="1"/>
  <c r="C19" i="3"/>
  <c r="C21" i="1"/>
  <c r="C22" i="1"/>
  <c r="B23" i="1"/>
  <c r="A24" i="1"/>
  <c r="C23" i="1" l="1"/>
  <c r="D24" i="1"/>
  <c r="C20" i="3"/>
  <c r="A22" i="3"/>
  <c r="B22" i="3" s="1"/>
  <c r="D23" i="3" s="1"/>
  <c r="B24" i="1"/>
  <c r="D25" i="1" s="1"/>
  <c r="A25" i="1"/>
  <c r="A23" i="3" l="1"/>
  <c r="B23" i="3" s="1"/>
  <c r="D24" i="3" s="1"/>
  <c r="C21" i="3"/>
  <c r="C24" i="1"/>
  <c r="B25" i="1"/>
  <c r="D26" i="1" s="1"/>
  <c r="A26" i="1"/>
  <c r="C22" i="3" l="1"/>
  <c r="A24" i="3"/>
  <c r="B24" i="3" s="1"/>
  <c r="D25" i="3" s="1"/>
  <c r="B26" i="1"/>
  <c r="D27" i="1" s="1"/>
  <c r="C25" i="1"/>
  <c r="A27" i="1"/>
  <c r="A25" i="3" l="1"/>
  <c r="B25" i="3" s="1"/>
  <c r="D26" i="3" s="1"/>
  <c r="C23" i="3"/>
  <c r="C26" i="1"/>
  <c r="B27" i="1"/>
  <c r="D28" i="1" s="1"/>
  <c r="A28" i="1"/>
  <c r="C24" i="3" l="1"/>
  <c r="A26" i="3"/>
  <c r="B26" i="3" s="1"/>
  <c r="D27" i="3" s="1"/>
  <c r="C27" i="1"/>
  <c r="B28" i="1"/>
  <c r="D29" i="1" s="1"/>
  <c r="A29" i="1"/>
  <c r="C25" i="3" l="1"/>
  <c r="A27" i="3"/>
  <c r="B27" i="3" s="1"/>
  <c r="D28" i="3" s="1"/>
  <c r="C28" i="1"/>
  <c r="B29" i="1"/>
  <c r="D30" i="1" s="1"/>
  <c r="A30" i="1"/>
  <c r="C26" i="3" l="1"/>
  <c r="A28" i="3"/>
  <c r="B28" i="3" s="1"/>
  <c r="D29" i="3" s="1"/>
  <c r="C29" i="1"/>
  <c r="B30" i="1"/>
  <c r="D31" i="1" s="1"/>
  <c r="A31" i="1"/>
  <c r="C27" i="3" l="1"/>
  <c r="A29" i="3"/>
  <c r="B29" i="3" s="1"/>
  <c r="D30" i="3" s="1"/>
  <c r="C30" i="1"/>
  <c r="B31" i="1"/>
  <c r="D32" i="1" s="1"/>
  <c r="A32" i="1"/>
  <c r="A30" i="3" l="1"/>
  <c r="B30" i="3" s="1"/>
  <c r="D31" i="3" s="1"/>
  <c r="C28" i="3"/>
  <c r="C31" i="1"/>
  <c r="B32" i="1"/>
  <c r="D33" i="1" s="1"/>
  <c r="A33" i="1"/>
  <c r="C29" i="3" l="1"/>
  <c r="A31" i="3"/>
  <c r="B31" i="3" s="1"/>
  <c r="D32" i="3" s="1"/>
  <c r="C32" i="1"/>
  <c r="B33" i="1"/>
  <c r="D34" i="1" s="1"/>
  <c r="A34" i="1"/>
  <c r="C30" i="3" l="1"/>
  <c r="A32" i="3"/>
  <c r="B32" i="3" s="1"/>
  <c r="D33" i="3" s="1"/>
  <c r="C33" i="1"/>
  <c r="B34" i="1"/>
  <c r="D35" i="1" s="1"/>
  <c r="A35" i="1"/>
  <c r="C31" i="3" l="1"/>
  <c r="A33" i="3"/>
  <c r="B33" i="3" s="1"/>
  <c r="D34" i="3" s="1"/>
  <c r="C34" i="1"/>
  <c r="B35" i="1"/>
  <c r="D36" i="1" s="1"/>
  <c r="A36" i="1"/>
  <c r="C32" i="3" l="1"/>
  <c r="A34" i="3"/>
  <c r="B34" i="3" s="1"/>
  <c r="D35" i="3" s="1"/>
  <c r="C35" i="1"/>
  <c r="B36" i="1"/>
  <c r="D37" i="1" s="1"/>
  <c r="A37" i="1"/>
  <c r="C33" i="3" l="1"/>
  <c r="A35" i="3"/>
  <c r="B35" i="3" s="1"/>
  <c r="D36" i="3" s="1"/>
  <c r="C36" i="1"/>
  <c r="B37" i="1"/>
  <c r="D38" i="1" s="1"/>
  <c r="A38" i="1"/>
  <c r="A36" i="3" l="1"/>
  <c r="B36" i="3" s="1"/>
  <c r="D37" i="3" s="1"/>
  <c r="C34" i="3"/>
  <c r="C37" i="1"/>
  <c r="B38" i="1"/>
  <c r="D39" i="1" s="1"/>
  <c r="A39" i="1"/>
  <c r="A37" i="3" l="1"/>
  <c r="B37" i="3" s="1"/>
  <c r="D38" i="3" s="1"/>
  <c r="C35" i="3"/>
  <c r="C38" i="1"/>
  <c r="B39" i="1"/>
  <c r="D40" i="1" s="1"/>
  <c r="A40" i="1"/>
  <c r="C36" i="3" l="1"/>
  <c r="A38" i="3"/>
  <c r="B38" i="3" s="1"/>
  <c r="D39" i="3" s="1"/>
  <c r="C39" i="1"/>
  <c r="B40" i="1"/>
  <c r="D41" i="1" s="1"/>
  <c r="A41" i="1"/>
  <c r="A39" i="3" l="1"/>
  <c r="B39" i="3" s="1"/>
  <c r="D40" i="3" s="1"/>
  <c r="C37" i="3"/>
  <c r="C40" i="1"/>
  <c r="B41" i="1"/>
  <c r="D42" i="1" s="1"/>
  <c r="A42" i="1"/>
  <c r="C38" i="3" l="1"/>
  <c r="A40" i="3"/>
  <c r="B40" i="3" s="1"/>
  <c r="D41" i="3" s="1"/>
  <c r="C41" i="1"/>
  <c r="B42" i="1"/>
  <c r="D43" i="1" s="1"/>
  <c r="A43" i="1"/>
  <c r="C39" i="3" l="1"/>
  <c r="A41" i="3"/>
  <c r="B41" i="3" s="1"/>
  <c r="D42" i="3" s="1"/>
  <c r="C42" i="1"/>
  <c r="B43" i="1"/>
  <c r="D44" i="1" s="1"/>
  <c r="A44" i="1"/>
  <c r="C43" i="1" l="1"/>
  <c r="C40" i="3"/>
  <c r="A42" i="3"/>
  <c r="B42" i="3" s="1"/>
  <c r="D43" i="3" s="1"/>
  <c r="B44" i="1"/>
  <c r="D45" i="1" s="1"/>
  <c r="A45" i="1"/>
  <c r="A43" i="3" l="1"/>
  <c r="B43" i="3" s="1"/>
  <c r="D44" i="3" s="1"/>
  <c r="C41" i="3"/>
  <c r="C44" i="1"/>
  <c r="B45" i="1"/>
  <c r="D46" i="1" s="1"/>
  <c r="A46" i="1"/>
  <c r="C42" i="3" l="1"/>
  <c r="A44" i="3"/>
  <c r="B44" i="3" s="1"/>
  <c r="D45" i="3" s="1"/>
  <c r="C45" i="1"/>
  <c r="B46" i="1"/>
  <c r="D47" i="1" s="1"/>
  <c r="A47" i="1"/>
  <c r="C43" i="3" l="1"/>
  <c r="A45" i="3"/>
  <c r="B45" i="3" s="1"/>
  <c r="D46" i="3" s="1"/>
  <c r="B47" i="1"/>
  <c r="D48" i="1" s="1"/>
  <c r="C46" i="1"/>
  <c r="A48" i="1"/>
  <c r="A46" i="3" l="1"/>
  <c r="B46" i="3" s="1"/>
  <c r="D47" i="3" s="1"/>
  <c r="C44" i="3"/>
  <c r="C47" i="1"/>
  <c r="B48" i="1"/>
  <c r="D49" i="1" s="1"/>
  <c r="A49" i="1"/>
  <c r="C45" i="3" l="1"/>
  <c r="A47" i="3"/>
  <c r="B47" i="3" s="1"/>
  <c r="D48" i="3" s="1"/>
  <c r="C48" i="1"/>
  <c r="B49" i="1"/>
  <c r="D50" i="1" s="1"/>
  <c r="A50" i="1"/>
  <c r="A48" i="3" l="1"/>
  <c r="B48" i="3" s="1"/>
  <c r="D49" i="3" s="1"/>
  <c r="C46" i="3"/>
  <c r="C49" i="1"/>
  <c r="B50" i="1"/>
  <c r="D51" i="1" s="1"/>
  <c r="A51" i="1"/>
  <c r="C47" i="3" l="1"/>
  <c r="A49" i="3"/>
  <c r="B49" i="3" s="1"/>
  <c r="D50" i="3" s="1"/>
  <c r="C50" i="1"/>
  <c r="B51" i="1"/>
  <c r="D52" i="1" s="1"/>
  <c r="A52" i="1"/>
  <c r="A50" i="3" l="1"/>
  <c r="B50" i="3" s="1"/>
  <c r="D51" i="3" s="1"/>
  <c r="C48" i="3"/>
  <c r="B52" i="1"/>
  <c r="D53" i="1" s="1"/>
  <c r="C51" i="1"/>
  <c r="A53" i="1"/>
  <c r="C49" i="3" l="1"/>
  <c r="A51" i="3"/>
  <c r="B51" i="3" s="1"/>
  <c r="D52" i="3" s="1"/>
  <c r="C52" i="1"/>
  <c r="B53" i="1"/>
  <c r="D54" i="1" s="1"/>
  <c r="A54" i="1"/>
  <c r="C50" i="3" l="1"/>
  <c r="A52" i="3"/>
  <c r="B52" i="3" s="1"/>
  <c r="D53" i="3" s="1"/>
  <c r="B54" i="1"/>
  <c r="D55" i="1" s="1"/>
  <c r="C53" i="1"/>
  <c r="A55" i="1"/>
  <c r="C51" i="3" l="1"/>
  <c r="A53" i="3"/>
  <c r="B53" i="3" s="1"/>
  <c r="D54" i="3" s="1"/>
  <c r="C54" i="1"/>
  <c r="B55" i="1"/>
  <c r="D56" i="1" s="1"/>
  <c r="A56" i="1"/>
  <c r="C55" i="1" l="1"/>
  <c r="C52" i="3"/>
  <c r="A54" i="3"/>
  <c r="B54" i="3" s="1"/>
  <c r="D55" i="3" s="1"/>
  <c r="B56" i="1"/>
  <c r="D57" i="1" s="1"/>
  <c r="A57" i="1"/>
  <c r="A55" i="3" l="1"/>
  <c r="B55" i="3" s="1"/>
  <c r="D56" i="3" s="1"/>
  <c r="C53" i="3"/>
  <c r="C56" i="1"/>
  <c r="B57" i="1"/>
  <c r="D58" i="1" s="1"/>
  <c r="A58" i="1"/>
  <c r="A56" i="3" l="1"/>
  <c r="B56" i="3" s="1"/>
  <c r="D57" i="3" s="1"/>
  <c r="C54" i="3"/>
  <c r="C57" i="1"/>
  <c r="B58" i="1"/>
  <c r="D59" i="1" s="1"/>
  <c r="A59" i="1"/>
  <c r="A57" i="3" l="1"/>
  <c r="B57" i="3" s="1"/>
  <c r="D58" i="3" s="1"/>
  <c r="C55" i="3"/>
  <c r="B59" i="1"/>
  <c r="D60" i="1" s="1"/>
  <c r="C58" i="1"/>
  <c r="A60" i="1"/>
  <c r="A58" i="3" l="1"/>
  <c r="B58" i="3" s="1"/>
  <c r="D59" i="3" s="1"/>
  <c r="C56" i="3"/>
  <c r="C59" i="1"/>
  <c r="B60" i="1"/>
  <c r="D61" i="1" s="1"/>
  <c r="A61" i="1"/>
  <c r="C57" i="3" l="1"/>
  <c r="A59" i="3"/>
  <c r="B59" i="3" s="1"/>
  <c r="D60" i="3" s="1"/>
  <c r="C60" i="1"/>
  <c r="B61" i="1"/>
  <c r="D62" i="1" s="1"/>
  <c r="A62" i="1"/>
  <c r="A60" i="3" l="1"/>
  <c r="B60" i="3" s="1"/>
  <c r="D61" i="3" s="1"/>
  <c r="C58" i="3"/>
  <c r="C61" i="1"/>
  <c r="B62" i="1"/>
  <c r="D63" i="1" s="1"/>
  <c r="A63" i="1"/>
  <c r="C59" i="3" l="1"/>
  <c r="A61" i="3"/>
  <c r="B61" i="3" s="1"/>
  <c r="D62" i="3" s="1"/>
  <c r="C62" i="1"/>
  <c r="B63" i="1"/>
  <c r="D64" i="1" s="1"/>
  <c r="A64" i="1"/>
  <c r="A62" i="3" l="1"/>
  <c r="B62" i="3" s="1"/>
  <c r="D63" i="3" s="1"/>
  <c r="C60" i="3"/>
  <c r="C63" i="1"/>
  <c r="B64" i="1"/>
  <c r="D65" i="1" s="1"/>
  <c r="A65" i="1"/>
  <c r="C61" i="3" l="1"/>
  <c r="A63" i="3"/>
  <c r="B63" i="3" s="1"/>
  <c r="D64" i="3" s="1"/>
  <c r="C64" i="1"/>
  <c r="B65" i="1"/>
  <c r="D66" i="1" s="1"/>
  <c r="A66" i="1"/>
  <c r="C62" i="3" l="1"/>
  <c r="A64" i="3"/>
  <c r="B64" i="3" s="1"/>
  <c r="D65" i="3" s="1"/>
  <c r="C65" i="1"/>
  <c r="B66" i="1"/>
  <c r="D67" i="1" s="1"/>
  <c r="A67" i="1"/>
  <c r="A65" i="3" l="1"/>
  <c r="B65" i="3" s="1"/>
  <c r="D66" i="3" s="1"/>
  <c r="C63" i="3"/>
  <c r="C66" i="1"/>
  <c r="B67" i="1"/>
  <c r="D68" i="1" s="1"/>
  <c r="A68" i="1"/>
  <c r="C64" i="3" l="1"/>
  <c r="A66" i="3"/>
  <c r="B66" i="3" s="1"/>
  <c r="D67" i="3" s="1"/>
  <c r="C67" i="1"/>
  <c r="B68" i="1"/>
  <c r="D69" i="1" s="1"/>
  <c r="A69" i="1"/>
  <c r="C65" i="3" l="1"/>
  <c r="A67" i="3"/>
  <c r="B67" i="3" s="1"/>
  <c r="D68" i="3" s="1"/>
  <c r="C68" i="1"/>
  <c r="B69" i="1"/>
  <c r="D70" i="1" s="1"/>
  <c r="A70" i="1"/>
  <c r="C66" i="3" l="1"/>
  <c r="A68" i="3"/>
  <c r="B68" i="3" s="1"/>
  <c r="D69" i="3" s="1"/>
  <c r="C69" i="1"/>
  <c r="B70" i="1"/>
  <c r="D71" i="1" s="1"/>
  <c r="A71" i="1"/>
  <c r="C67" i="3" l="1"/>
  <c r="A69" i="3"/>
  <c r="B69" i="3" s="1"/>
  <c r="D70" i="3" s="1"/>
  <c r="C70" i="1"/>
  <c r="B71" i="1"/>
  <c r="D72" i="1" s="1"/>
  <c r="A72" i="1"/>
  <c r="C68" i="3" l="1"/>
  <c r="A70" i="3"/>
  <c r="B70" i="3" s="1"/>
  <c r="D71" i="3" s="1"/>
  <c r="C71" i="1"/>
  <c r="B72" i="1"/>
  <c r="D73" i="1" s="1"/>
  <c r="A73" i="1"/>
  <c r="C69" i="3" l="1"/>
  <c r="A71" i="3"/>
  <c r="B71" i="3" s="1"/>
  <c r="D72" i="3" s="1"/>
  <c r="C72" i="1"/>
  <c r="B73" i="1"/>
  <c r="D74" i="1" s="1"/>
  <c r="A74" i="1"/>
  <c r="C70" i="3" l="1"/>
  <c r="A72" i="3"/>
  <c r="B72" i="3" s="1"/>
  <c r="D73" i="3" s="1"/>
  <c r="C73" i="1"/>
  <c r="B74" i="1"/>
  <c r="D75" i="1" s="1"/>
  <c r="A75" i="1"/>
  <c r="C71" i="3" l="1"/>
  <c r="A73" i="3"/>
  <c r="B73" i="3" s="1"/>
  <c r="D74" i="3" s="1"/>
  <c r="C74" i="1"/>
  <c r="B75" i="1"/>
  <c r="D76" i="1" s="1"/>
  <c r="A76" i="1"/>
  <c r="C72" i="3" l="1"/>
  <c r="A74" i="3"/>
  <c r="B74" i="3" s="1"/>
  <c r="D75" i="3" s="1"/>
  <c r="C75" i="1"/>
  <c r="B76" i="1"/>
  <c r="D77" i="1" s="1"/>
  <c r="A77" i="1"/>
  <c r="C73" i="3" l="1"/>
  <c r="A75" i="3"/>
  <c r="B75" i="3" s="1"/>
  <c r="D76" i="3" s="1"/>
  <c r="C76" i="1"/>
  <c r="B77" i="1"/>
  <c r="D78" i="1" s="1"/>
  <c r="A78" i="1"/>
  <c r="C74" i="3" l="1"/>
  <c r="A76" i="3"/>
  <c r="B76" i="3" s="1"/>
  <c r="D77" i="3" s="1"/>
  <c r="C77" i="1"/>
  <c r="B78" i="1"/>
  <c r="D79" i="1" s="1"/>
  <c r="A79" i="1"/>
  <c r="C75" i="3" l="1"/>
  <c r="A77" i="3"/>
  <c r="B77" i="3" s="1"/>
  <c r="D78" i="3" s="1"/>
  <c r="C78" i="1"/>
  <c r="B79" i="1"/>
  <c r="D80" i="1" s="1"/>
  <c r="A80" i="1"/>
  <c r="C76" i="3" l="1"/>
  <c r="A78" i="3"/>
  <c r="B78" i="3" s="1"/>
  <c r="D79" i="3" s="1"/>
  <c r="C79" i="1"/>
  <c r="B80" i="1"/>
  <c r="D81" i="1" s="1"/>
  <c r="A81" i="1"/>
  <c r="C77" i="3" l="1"/>
  <c r="A79" i="3"/>
  <c r="B79" i="3" s="1"/>
  <c r="D80" i="3" s="1"/>
  <c r="C80" i="1"/>
  <c r="B81" i="1"/>
  <c r="D82" i="1" s="1"/>
  <c r="A82" i="1"/>
  <c r="C78" i="3" l="1"/>
  <c r="A80" i="3"/>
  <c r="B80" i="3" s="1"/>
  <c r="D81" i="3" s="1"/>
  <c r="C81" i="1"/>
  <c r="B82" i="1"/>
  <c r="D83" i="1" s="1"/>
  <c r="A83" i="1"/>
  <c r="C79" i="3" l="1"/>
  <c r="A81" i="3"/>
  <c r="B81" i="3" s="1"/>
  <c r="D82" i="3" s="1"/>
  <c r="C82" i="1"/>
  <c r="B83" i="1"/>
  <c r="D84" i="1" s="1"/>
  <c r="A84" i="1"/>
  <c r="A82" i="3" l="1"/>
  <c r="B82" i="3" s="1"/>
  <c r="D83" i="3" s="1"/>
  <c r="C80" i="3"/>
  <c r="C83" i="1"/>
  <c r="B84" i="1"/>
  <c r="D85" i="1" s="1"/>
  <c r="A85" i="1"/>
  <c r="C81" i="3" l="1"/>
  <c r="A83" i="3"/>
  <c r="B83" i="3" s="1"/>
  <c r="D84" i="3" s="1"/>
  <c r="C84" i="1"/>
  <c r="B85" i="1"/>
  <c r="D86" i="1" s="1"/>
  <c r="A86" i="1"/>
  <c r="C82" i="3" l="1"/>
  <c r="A84" i="3"/>
  <c r="B84" i="3" s="1"/>
  <c r="D85" i="3" s="1"/>
  <c r="C85" i="1"/>
  <c r="B86" i="1"/>
  <c r="D87" i="1" s="1"/>
  <c r="A87" i="1"/>
  <c r="C83" i="3" l="1"/>
  <c r="A85" i="3"/>
  <c r="B85" i="3" s="1"/>
  <c r="D86" i="3" s="1"/>
  <c r="C86" i="1"/>
  <c r="B87" i="1"/>
  <c r="D88" i="1" s="1"/>
  <c r="A88" i="1"/>
  <c r="C84" i="3" l="1"/>
  <c r="A86" i="3"/>
  <c r="B86" i="3" s="1"/>
  <c r="D87" i="3" s="1"/>
  <c r="C87" i="1"/>
  <c r="B88" i="1"/>
  <c r="D89" i="1" s="1"/>
  <c r="A89" i="1"/>
  <c r="C85" i="3" l="1"/>
  <c r="A87" i="3"/>
  <c r="B87" i="3" s="1"/>
  <c r="D88" i="3" s="1"/>
  <c r="C88" i="1"/>
  <c r="B89" i="1"/>
  <c r="D90" i="1" s="1"/>
  <c r="A90" i="1"/>
  <c r="C86" i="3" l="1"/>
  <c r="A88" i="3"/>
  <c r="B88" i="3" s="1"/>
  <c r="D89" i="3" s="1"/>
  <c r="C89" i="1"/>
  <c r="B90" i="1"/>
  <c r="D91" i="1" s="1"/>
  <c r="A91" i="1"/>
  <c r="C87" i="3" l="1"/>
  <c r="A89" i="3"/>
  <c r="B89" i="3" s="1"/>
  <c r="D90" i="3" s="1"/>
  <c r="C90" i="1"/>
  <c r="B91" i="1"/>
  <c r="D92" i="1" s="1"/>
  <c r="A92" i="1"/>
  <c r="C88" i="3" l="1"/>
  <c r="A90" i="3"/>
  <c r="B90" i="3" s="1"/>
  <c r="D91" i="3" s="1"/>
  <c r="C91" i="1"/>
  <c r="B92" i="1"/>
  <c r="D93" i="1" s="1"/>
  <c r="A93" i="1"/>
  <c r="C89" i="3" l="1"/>
  <c r="A91" i="3"/>
  <c r="B91" i="3" s="1"/>
  <c r="D92" i="3" s="1"/>
  <c r="C92" i="1"/>
  <c r="B93" i="1"/>
  <c r="D94" i="1" s="1"/>
  <c r="A94" i="1"/>
  <c r="C90" i="3" l="1"/>
  <c r="A92" i="3"/>
  <c r="B92" i="3" s="1"/>
  <c r="D93" i="3" s="1"/>
  <c r="C93" i="1"/>
  <c r="B94" i="1"/>
  <c r="D95" i="1" s="1"/>
  <c r="A95" i="1"/>
  <c r="C91" i="3" l="1"/>
  <c r="A93" i="3"/>
  <c r="B93" i="3" s="1"/>
  <c r="D94" i="3" s="1"/>
  <c r="C94" i="1"/>
  <c r="B95" i="1"/>
  <c r="D96" i="1" s="1"/>
  <c r="A96" i="1"/>
  <c r="C92" i="3" l="1"/>
  <c r="A94" i="3"/>
  <c r="B94" i="3" s="1"/>
  <c r="D95" i="3" s="1"/>
  <c r="C95" i="1"/>
  <c r="B96" i="1"/>
  <c r="D97" i="1" s="1"/>
  <c r="A97" i="1"/>
  <c r="C93" i="3" l="1"/>
  <c r="A95" i="3"/>
  <c r="B95" i="3" s="1"/>
  <c r="D96" i="3" s="1"/>
  <c r="C96" i="1"/>
  <c r="B97" i="1"/>
  <c r="D98" i="1" s="1"/>
  <c r="A98" i="1"/>
  <c r="C94" i="3" l="1"/>
  <c r="A96" i="3"/>
  <c r="B96" i="3" s="1"/>
  <c r="D97" i="3" s="1"/>
  <c r="C97" i="1"/>
  <c r="B98" i="1"/>
  <c r="D99" i="1" s="1"/>
  <c r="A99" i="1"/>
  <c r="C95" i="3" l="1"/>
  <c r="A97" i="3"/>
  <c r="B97" i="3" s="1"/>
  <c r="D98" i="3" s="1"/>
  <c r="C98" i="1"/>
  <c r="B99" i="1"/>
  <c r="D100" i="1" s="1"/>
  <c r="A100" i="1"/>
  <c r="C96" i="3" l="1"/>
  <c r="A98" i="3"/>
  <c r="B98" i="3" s="1"/>
  <c r="D99" i="3" s="1"/>
  <c r="C99" i="1"/>
  <c r="B100" i="1"/>
  <c r="D101" i="1" s="1"/>
  <c r="A101" i="1"/>
  <c r="C97" i="3" l="1"/>
  <c r="A99" i="3"/>
  <c r="B99" i="3" s="1"/>
  <c r="D100" i="3" s="1"/>
  <c r="C100" i="1"/>
  <c r="B101" i="1"/>
  <c r="D102" i="1" s="1"/>
  <c r="A102" i="1"/>
  <c r="C98" i="3" l="1"/>
  <c r="A100" i="3"/>
  <c r="B100" i="3" s="1"/>
  <c r="D101" i="3" s="1"/>
  <c r="C101" i="1"/>
  <c r="B102" i="1"/>
  <c r="D103" i="1" s="1"/>
  <c r="A103" i="1"/>
  <c r="C99" i="3" l="1"/>
  <c r="A101" i="3"/>
  <c r="B101" i="3" s="1"/>
  <c r="D102" i="3" s="1"/>
  <c r="C102" i="1"/>
  <c r="B103" i="1"/>
  <c r="D104" i="1" s="1"/>
  <c r="A104" i="1"/>
  <c r="C103" i="1" l="1"/>
  <c r="C100" i="3"/>
  <c r="A102" i="3"/>
  <c r="B102" i="3" s="1"/>
  <c r="D103" i="3" s="1"/>
  <c r="B104" i="1"/>
  <c r="D105" i="1" s="1"/>
  <c r="A105" i="1"/>
  <c r="C104" i="1" l="1"/>
  <c r="C101" i="3"/>
  <c r="A103" i="3"/>
  <c r="B103" i="3" s="1"/>
  <c r="D104" i="3" s="1"/>
  <c r="B105" i="1"/>
  <c r="D106" i="1" s="1"/>
  <c r="A106" i="1"/>
  <c r="C105" i="1" l="1"/>
  <c r="C102" i="3"/>
  <c r="A104" i="3"/>
  <c r="B104" i="3" s="1"/>
  <c r="D105" i="3" s="1"/>
  <c r="B106" i="1"/>
  <c r="D107" i="1" s="1"/>
  <c r="A107" i="1"/>
  <c r="C106" i="1" l="1"/>
  <c r="C103" i="3"/>
  <c r="A105" i="3"/>
  <c r="B105" i="3" s="1"/>
  <c r="D106" i="3" s="1"/>
  <c r="B107" i="1"/>
  <c r="D108" i="1" s="1"/>
  <c r="A108" i="1"/>
  <c r="C107" i="1" l="1"/>
  <c r="C104" i="3"/>
  <c r="A106" i="3"/>
  <c r="B106" i="3" s="1"/>
  <c r="D107" i="3" s="1"/>
  <c r="B108" i="1"/>
  <c r="D109" i="1" s="1"/>
  <c r="A109" i="1"/>
  <c r="C105" i="3" l="1"/>
  <c r="A107" i="3"/>
  <c r="B107" i="3" s="1"/>
  <c r="D108" i="3" s="1"/>
  <c r="C108" i="1"/>
  <c r="B109" i="1"/>
  <c r="D110" i="1" s="1"/>
  <c r="A110" i="1"/>
  <c r="C109" i="1" l="1"/>
  <c r="C106" i="3"/>
  <c r="A108" i="3"/>
  <c r="B108" i="3" s="1"/>
  <c r="D109" i="3" s="1"/>
  <c r="B110" i="1"/>
  <c r="D111" i="1" s="1"/>
  <c r="A111" i="1"/>
  <c r="C110" i="1" l="1"/>
  <c r="C107" i="3"/>
  <c r="A109" i="3"/>
  <c r="B109" i="3" s="1"/>
  <c r="D110" i="3" s="1"/>
  <c r="B111" i="1"/>
  <c r="D112" i="1" s="1"/>
  <c r="A112" i="1"/>
  <c r="C111" i="1" l="1"/>
  <c r="C108" i="3"/>
  <c r="A110" i="3"/>
  <c r="B110" i="3" s="1"/>
  <c r="D111" i="3" s="1"/>
  <c r="B112" i="1"/>
  <c r="D113" i="1" s="1"/>
  <c r="A113" i="1"/>
  <c r="C112" i="1" l="1"/>
  <c r="C109" i="3"/>
  <c r="A111" i="3"/>
  <c r="B111" i="3" s="1"/>
  <c r="D112" i="3" s="1"/>
  <c r="B113" i="1"/>
  <c r="D114" i="1" s="1"/>
  <c r="A114" i="1"/>
  <c r="C113" i="1" l="1"/>
  <c r="C110" i="3"/>
  <c r="A112" i="3"/>
  <c r="B112" i="3" s="1"/>
  <c r="D113" i="3" s="1"/>
  <c r="B114" i="1"/>
  <c r="D115" i="1" s="1"/>
  <c r="A115" i="1"/>
  <c r="C111" i="3" l="1"/>
  <c r="A113" i="3"/>
  <c r="B113" i="3" s="1"/>
  <c r="D114" i="3" s="1"/>
  <c r="B115" i="1"/>
  <c r="D116" i="1" s="1"/>
  <c r="C114" i="1"/>
  <c r="A116" i="1"/>
  <c r="C112" i="3" l="1"/>
  <c r="A114" i="3"/>
  <c r="B114" i="3" s="1"/>
  <c r="D115" i="3" s="1"/>
  <c r="C115" i="1"/>
  <c r="B116" i="1"/>
  <c r="D117" i="1" s="1"/>
  <c r="A117" i="1"/>
  <c r="C113" i="3" l="1"/>
  <c r="A115" i="3"/>
  <c r="B115" i="3" s="1"/>
  <c r="D116" i="3" s="1"/>
  <c r="C116" i="1"/>
  <c r="B117" i="1"/>
  <c r="D118" i="1" s="1"/>
  <c r="A118" i="1"/>
  <c r="C114" i="3" l="1"/>
  <c r="A116" i="3"/>
  <c r="B116" i="3" s="1"/>
  <c r="D117" i="3" s="1"/>
  <c r="C117" i="1"/>
  <c r="B118" i="1"/>
  <c r="D119" i="1" s="1"/>
  <c r="A119" i="1"/>
  <c r="C115" i="3" l="1"/>
  <c r="A117" i="3"/>
  <c r="B117" i="3" s="1"/>
  <c r="D118" i="3" s="1"/>
  <c r="C118" i="1"/>
  <c r="B119" i="1"/>
  <c r="D120" i="1" s="1"/>
  <c r="A120" i="1"/>
  <c r="C116" i="3" l="1"/>
  <c r="A118" i="3"/>
  <c r="B118" i="3" s="1"/>
  <c r="D119" i="3" s="1"/>
  <c r="C119" i="1"/>
  <c r="B120" i="1"/>
  <c r="D121" i="1" s="1"/>
  <c r="A121" i="1"/>
  <c r="C120" i="1" l="1"/>
  <c r="C117" i="3"/>
  <c r="A119" i="3"/>
  <c r="B119" i="3" s="1"/>
  <c r="D120" i="3" s="1"/>
  <c r="B121" i="1"/>
  <c r="D122" i="1" s="1"/>
  <c r="A122" i="1"/>
  <c r="A120" i="3" l="1"/>
  <c r="B120" i="3" s="1"/>
  <c r="D121" i="3" s="1"/>
  <c r="C118" i="3"/>
  <c r="C121" i="1"/>
  <c r="B122" i="1"/>
  <c r="D123" i="1" s="1"/>
  <c r="A123" i="1"/>
  <c r="C122" i="1" l="1"/>
  <c r="A121" i="3"/>
  <c r="B121" i="3" s="1"/>
  <c r="D122" i="3" s="1"/>
  <c r="C119" i="3"/>
  <c r="B123" i="1"/>
  <c r="D124" i="1" s="1"/>
  <c r="A124" i="1"/>
  <c r="A122" i="3" l="1"/>
  <c r="B122" i="3" s="1"/>
  <c r="D123" i="3" s="1"/>
  <c r="C120" i="3"/>
  <c r="C123" i="1"/>
  <c r="B124" i="1"/>
  <c r="D125" i="1" s="1"/>
  <c r="A125" i="1"/>
  <c r="C121" i="3" l="1"/>
  <c r="A123" i="3"/>
  <c r="B123" i="3" s="1"/>
  <c r="D124" i="3" s="1"/>
  <c r="C124" i="1"/>
  <c r="B125" i="1"/>
  <c r="D126" i="1" s="1"/>
  <c r="A126" i="1"/>
  <c r="C122" i="3" l="1"/>
  <c r="A124" i="3"/>
  <c r="B124" i="3" s="1"/>
  <c r="D125" i="3" s="1"/>
  <c r="C125" i="1"/>
  <c r="B126" i="1"/>
  <c r="D127" i="1" s="1"/>
  <c r="A127" i="1"/>
  <c r="C123" i="3" l="1"/>
  <c r="A125" i="3"/>
  <c r="B125" i="3" s="1"/>
  <c r="D126" i="3" s="1"/>
  <c r="B127" i="1"/>
  <c r="D128" i="1" s="1"/>
  <c r="C126" i="1"/>
  <c r="A128" i="1"/>
  <c r="C124" i="3" l="1"/>
  <c r="A126" i="3"/>
  <c r="B126" i="3" s="1"/>
  <c r="D127" i="3" s="1"/>
  <c r="B128" i="1"/>
  <c r="D129" i="1" s="1"/>
  <c r="C127" i="1"/>
  <c r="A129" i="1"/>
  <c r="C128" i="1" l="1"/>
  <c r="C125" i="3"/>
  <c r="A127" i="3"/>
  <c r="B127" i="3" s="1"/>
  <c r="D128" i="3" s="1"/>
  <c r="B129" i="1"/>
  <c r="D130" i="1" s="1"/>
  <c r="A130" i="1"/>
  <c r="C126" i="3" l="1"/>
  <c r="A128" i="3"/>
  <c r="B128" i="3" s="1"/>
  <c r="D129" i="3" s="1"/>
  <c r="C129" i="1"/>
  <c r="B130" i="1"/>
  <c r="D131" i="1" s="1"/>
  <c r="A131" i="1"/>
  <c r="C127" i="3" l="1"/>
  <c r="A129" i="3"/>
  <c r="B129" i="3" s="1"/>
  <c r="D130" i="3" s="1"/>
  <c r="C130" i="1"/>
  <c r="B131" i="1"/>
  <c r="D132" i="1" s="1"/>
  <c r="A132" i="1"/>
  <c r="A130" i="3" l="1"/>
  <c r="B130" i="3" s="1"/>
  <c r="D131" i="3" s="1"/>
  <c r="C128" i="3"/>
  <c r="B132" i="1"/>
  <c r="D133" i="1" s="1"/>
  <c r="C131" i="1"/>
  <c r="A133" i="1"/>
  <c r="C129" i="3" l="1"/>
  <c r="A131" i="3"/>
  <c r="B131" i="3" s="1"/>
  <c r="D132" i="3" s="1"/>
  <c r="C132" i="1"/>
  <c r="B133" i="1"/>
  <c r="D134" i="1" s="1"/>
  <c r="A134" i="1"/>
  <c r="C130" i="3" l="1"/>
  <c r="A132" i="3"/>
  <c r="B132" i="3" s="1"/>
  <c r="D133" i="3" s="1"/>
  <c r="B134" i="1"/>
  <c r="D135" i="1" s="1"/>
  <c r="C133" i="1"/>
  <c r="A135" i="1"/>
  <c r="C131" i="3" l="1"/>
  <c r="A133" i="3"/>
  <c r="B133" i="3" s="1"/>
  <c r="D134" i="3" s="1"/>
  <c r="C134" i="1"/>
  <c r="B135" i="1"/>
  <c r="D136" i="1" s="1"/>
  <c r="A136" i="1"/>
  <c r="C132" i="3" l="1"/>
  <c r="A134" i="3"/>
  <c r="B134" i="3" s="1"/>
  <c r="D135" i="3" s="1"/>
  <c r="C135" i="1"/>
  <c r="B136" i="1"/>
  <c r="D137" i="1" s="1"/>
  <c r="A137" i="1"/>
  <c r="C133" i="3" l="1"/>
  <c r="A135" i="3"/>
  <c r="B135" i="3" s="1"/>
  <c r="D136" i="3" s="1"/>
  <c r="C136" i="1"/>
  <c r="B137" i="1"/>
  <c r="D138" i="1" s="1"/>
  <c r="A138" i="1"/>
  <c r="C134" i="3" l="1"/>
  <c r="A136" i="3"/>
  <c r="B136" i="3" s="1"/>
  <c r="D137" i="3" s="1"/>
  <c r="C137" i="1"/>
  <c r="B138" i="1"/>
  <c r="D139" i="1" s="1"/>
  <c r="A139" i="1"/>
  <c r="C138" i="1" l="1"/>
  <c r="C135" i="3"/>
  <c r="A137" i="3"/>
  <c r="B137" i="3" s="1"/>
  <c r="D138" i="3" s="1"/>
  <c r="B139" i="1"/>
  <c r="D140" i="1" s="1"/>
  <c r="A140" i="1"/>
  <c r="C136" i="3" l="1"/>
  <c r="A138" i="3"/>
  <c r="B138" i="3" s="1"/>
  <c r="D139" i="3" s="1"/>
  <c r="B140" i="1"/>
  <c r="D141" i="1" s="1"/>
  <c r="C139" i="1"/>
  <c r="A141" i="1"/>
  <c r="C137" i="3" l="1"/>
  <c r="A139" i="3"/>
  <c r="B139" i="3" s="1"/>
  <c r="D140" i="3" s="1"/>
  <c r="C140" i="1"/>
  <c r="B141" i="1"/>
  <c r="D142" i="1" s="1"/>
  <c r="A142" i="1"/>
  <c r="C138" i="3" l="1"/>
  <c r="A140" i="3"/>
  <c r="B140" i="3" s="1"/>
  <c r="D141" i="3" s="1"/>
  <c r="C141" i="1"/>
  <c r="B142" i="1"/>
  <c r="D143" i="1" s="1"/>
  <c r="A143" i="1"/>
  <c r="C139" i="3" l="1"/>
  <c r="A141" i="3"/>
  <c r="B141" i="3" s="1"/>
  <c r="D142" i="3" s="1"/>
  <c r="C142" i="1"/>
  <c r="B143" i="1"/>
  <c r="D144" i="1" s="1"/>
  <c r="A144" i="1"/>
  <c r="C140" i="3" l="1"/>
  <c r="A142" i="3"/>
  <c r="B142" i="3" s="1"/>
  <c r="D143" i="3" s="1"/>
  <c r="C143" i="1"/>
  <c r="B144" i="1"/>
  <c r="D145" i="1" s="1"/>
  <c r="A145" i="1"/>
  <c r="C141" i="3" l="1"/>
  <c r="A143" i="3"/>
  <c r="B143" i="3" s="1"/>
  <c r="D144" i="3" s="1"/>
  <c r="C144" i="1"/>
  <c r="B145" i="1"/>
  <c r="D146" i="1" s="1"/>
  <c r="A146" i="1"/>
  <c r="C145" i="1" l="1"/>
  <c r="C142" i="3"/>
  <c r="A144" i="3"/>
  <c r="B144" i="3" s="1"/>
  <c r="D145" i="3" s="1"/>
  <c r="B146" i="1"/>
  <c r="D147" i="1" s="1"/>
  <c r="A147" i="1"/>
  <c r="C143" i="3" l="1"/>
  <c r="A145" i="3"/>
  <c r="B145" i="3" s="1"/>
  <c r="D146" i="3" s="1"/>
  <c r="C146" i="1"/>
  <c r="B147" i="1"/>
  <c r="D148" i="1" s="1"/>
  <c r="A148" i="1"/>
  <c r="C144" i="3" l="1"/>
  <c r="A146" i="3"/>
  <c r="B146" i="3" s="1"/>
  <c r="D147" i="3" s="1"/>
  <c r="C147" i="1"/>
  <c r="B148" i="1"/>
  <c r="D149" i="1" s="1"/>
  <c r="A149" i="1"/>
  <c r="C145" i="3" l="1"/>
  <c r="A147" i="3"/>
  <c r="B147" i="3" s="1"/>
  <c r="D148" i="3" s="1"/>
  <c r="C148" i="1"/>
  <c r="B149" i="1"/>
  <c r="D150" i="1" s="1"/>
  <c r="A150" i="1"/>
  <c r="C146" i="3" l="1"/>
  <c r="A148" i="3"/>
  <c r="B148" i="3" s="1"/>
  <c r="D149" i="3" s="1"/>
  <c r="C149" i="1"/>
  <c r="B150" i="1"/>
  <c r="D151" i="1" s="1"/>
  <c r="A151" i="1"/>
  <c r="C147" i="3" l="1"/>
  <c r="A149" i="3"/>
  <c r="B149" i="3" s="1"/>
  <c r="D150" i="3" s="1"/>
  <c r="C150" i="1"/>
  <c r="B151" i="1"/>
  <c r="D152" i="1" s="1"/>
  <c r="A152" i="1"/>
  <c r="C148" i="3" l="1"/>
  <c r="A150" i="3"/>
  <c r="B150" i="3" s="1"/>
  <c r="D151" i="3" s="1"/>
  <c r="C151" i="1"/>
  <c r="B152" i="1"/>
  <c r="D153" i="1" s="1"/>
  <c r="A153" i="1"/>
  <c r="C149" i="3" l="1"/>
  <c r="A151" i="3"/>
  <c r="B151" i="3" s="1"/>
  <c r="D152" i="3" s="1"/>
  <c r="C152" i="1"/>
  <c r="B153" i="1"/>
  <c r="D154" i="1" s="1"/>
  <c r="A154" i="1"/>
  <c r="C150" i="3" l="1"/>
  <c r="A152" i="3"/>
  <c r="B152" i="3" s="1"/>
  <c r="D153" i="3" s="1"/>
  <c r="C153" i="1"/>
  <c r="B154" i="1"/>
  <c r="D155" i="1" s="1"/>
  <c r="A155" i="1"/>
  <c r="C154" i="1" l="1"/>
  <c r="C151" i="3"/>
  <c r="A153" i="3"/>
  <c r="B153" i="3" s="1"/>
  <c r="D154" i="3" s="1"/>
  <c r="B155" i="1"/>
  <c r="D156" i="1" s="1"/>
  <c r="A156" i="1"/>
  <c r="C152" i="3" l="1"/>
  <c r="A154" i="3"/>
  <c r="B154" i="3" s="1"/>
  <c r="D155" i="3" s="1"/>
  <c r="B156" i="1"/>
  <c r="D157" i="1" s="1"/>
  <c r="C155" i="1"/>
  <c r="A157" i="1"/>
  <c r="C156" i="1" l="1"/>
  <c r="A155" i="3"/>
  <c r="B155" i="3" s="1"/>
  <c r="D156" i="3" s="1"/>
  <c r="C153" i="3"/>
  <c r="B157" i="1"/>
  <c r="D158" i="1" s="1"/>
  <c r="A158" i="1"/>
  <c r="C154" i="3" l="1"/>
  <c r="A156" i="3"/>
  <c r="B156" i="3" s="1"/>
  <c r="D157" i="3" s="1"/>
  <c r="C157" i="1"/>
  <c r="B158" i="1"/>
  <c r="D159" i="1" s="1"/>
  <c r="A159" i="1"/>
  <c r="C155" i="3" l="1"/>
  <c r="A157" i="3"/>
  <c r="B157" i="3" s="1"/>
  <c r="D158" i="3" s="1"/>
  <c r="C158" i="1"/>
  <c r="B159" i="1"/>
  <c r="D160" i="1" s="1"/>
  <c r="A160" i="1"/>
  <c r="C156" i="3" l="1"/>
  <c r="A158" i="3"/>
  <c r="B158" i="3" s="1"/>
  <c r="D159" i="3" s="1"/>
  <c r="C159" i="1"/>
  <c r="B160" i="1"/>
  <c r="D161" i="1" s="1"/>
  <c r="A161" i="1"/>
  <c r="C160" i="1" l="1"/>
  <c r="C157" i="3"/>
  <c r="A159" i="3"/>
  <c r="B159" i="3" s="1"/>
  <c r="D160" i="3" s="1"/>
  <c r="B161" i="1"/>
  <c r="D162" i="1" s="1"/>
  <c r="A162" i="1"/>
  <c r="A160" i="3" l="1"/>
  <c r="B160" i="3" s="1"/>
  <c r="D161" i="3" s="1"/>
  <c r="C158" i="3"/>
  <c r="C161" i="1"/>
  <c r="B162" i="1"/>
  <c r="D163" i="1" s="1"/>
  <c r="A163" i="1"/>
  <c r="C162" i="1" l="1"/>
  <c r="C159" i="3"/>
  <c r="A161" i="3"/>
  <c r="B161" i="3" s="1"/>
  <c r="D162" i="3" s="1"/>
  <c r="B163" i="1"/>
  <c r="D164" i="1" s="1"/>
  <c r="A164" i="1"/>
  <c r="A162" i="3" l="1"/>
  <c r="B162" i="3" s="1"/>
  <c r="D163" i="3" s="1"/>
  <c r="C160" i="3"/>
  <c r="C163" i="1"/>
  <c r="B164" i="1"/>
  <c r="D165" i="1" s="1"/>
  <c r="A165" i="1"/>
  <c r="C164" i="1" l="1"/>
  <c r="C161" i="3"/>
  <c r="A163" i="3"/>
  <c r="B163" i="3" s="1"/>
  <c r="D164" i="3" s="1"/>
  <c r="B165" i="1"/>
  <c r="D166" i="1" s="1"/>
  <c r="A166" i="1"/>
  <c r="C162" i="3" l="1"/>
  <c r="A164" i="3"/>
  <c r="B164" i="3" s="1"/>
  <c r="D165" i="3" s="1"/>
  <c r="C165" i="1"/>
  <c r="B166" i="1"/>
  <c r="D167" i="1" s="1"/>
  <c r="A167" i="1"/>
  <c r="A165" i="3" l="1"/>
  <c r="B165" i="3" s="1"/>
  <c r="D166" i="3" s="1"/>
  <c r="C163" i="3"/>
  <c r="C166" i="1"/>
  <c r="B167" i="1"/>
  <c r="D168" i="1" s="1"/>
  <c r="A168" i="1"/>
  <c r="C164" i="3" l="1"/>
  <c r="A166" i="3"/>
  <c r="B166" i="3" s="1"/>
  <c r="D167" i="3" s="1"/>
  <c r="C167" i="1"/>
  <c r="B168" i="1"/>
  <c r="D169" i="1" s="1"/>
  <c r="A169" i="1"/>
  <c r="C168" i="1" l="1"/>
  <c r="C165" i="3"/>
  <c r="A167" i="3"/>
  <c r="B167" i="3" s="1"/>
  <c r="D168" i="3" s="1"/>
  <c r="B169" i="1"/>
  <c r="D170" i="1" s="1"/>
  <c r="A170" i="1"/>
  <c r="C166" i="3" l="1"/>
  <c r="A168" i="3"/>
  <c r="B168" i="3" s="1"/>
  <c r="D169" i="3" s="1"/>
  <c r="C169" i="1"/>
  <c r="B170" i="1"/>
  <c r="D171" i="1" s="1"/>
  <c r="A171" i="1"/>
  <c r="C170" i="1" l="1"/>
  <c r="C167" i="3"/>
  <c r="A169" i="3"/>
  <c r="B169" i="3" s="1"/>
  <c r="D170" i="3" s="1"/>
  <c r="B171" i="1"/>
  <c r="D172" i="1" s="1"/>
  <c r="A172" i="1"/>
  <c r="A170" i="3" l="1"/>
  <c r="B170" i="3" s="1"/>
  <c r="D171" i="3" s="1"/>
  <c r="C168" i="3"/>
  <c r="C171" i="1"/>
  <c r="B172" i="1"/>
  <c r="D173" i="1" s="1"/>
  <c r="A173" i="1"/>
  <c r="A171" i="3" l="1"/>
  <c r="B171" i="3" s="1"/>
  <c r="D172" i="3" s="1"/>
  <c r="C169" i="3"/>
  <c r="C172" i="1"/>
  <c r="B173" i="1"/>
  <c r="D174" i="1" s="1"/>
  <c r="A174" i="1"/>
  <c r="C170" i="3" l="1"/>
  <c r="A172" i="3"/>
  <c r="B172" i="3" s="1"/>
  <c r="D173" i="3" s="1"/>
  <c r="C173" i="1"/>
  <c r="B174" i="1"/>
  <c r="D175" i="1" s="1"/>
  <c r="A175" i="1"/>
  <c r="C171" i="3" l="1"/>
  <c r="A173" i="3"/>
  <c r="B173" i="3" s="1"/>
  <c r="D174" i="3" s="1"/>
  <c r="C174" i="1"/>
  <c r="B175" i="1"/>
  <c r="D176" i="1" s="1"/>
  <c r="A176" i="1"/>
  <c r="C172" i="3" l="1"/>
  <c r="A174" i="3"/>
  <c r="B174" i="3" s="1"/>
  <c r="D175" i="3" s="1"/>
  <c r="C175" i="1"/>
  <c r="B176" i="1"/>
  <c r="D177" i="1" s="1"/>
  <c r="A177" i="1"/>
  <c r="A175" i="3" l="1"/>
  <c r="B175" i="3" s="1"/>
  <c r="D176" i="3" s="1"/>
  <c r="C173" i="3"/>
  <c r="C176" i="1"/>
  <c r="B177" i="1"/>
  <c r="D178" i="1" s="1"/>
  <c r="A178" i="1"/>
  <c r="C174" i="3" l="1"/>
  <c r="A176" i="3"/>
  <c r="B176" i="3" s="1"/>
  <c r="D177" i="3" s="1"/>
  <c r="C177" i="1"/>
  <c r="B178" i="1"/>
  <c r="D179" i="1" s="1"/>
  <c r="A179" i="1"/>
  <c r="A177" i="3" l="1"/>
  <c r="B177" i="3" s="1"/>
  <c r="D178" i="3" s="1"/>
  <c r="C175" i="3"/>
  <c r="C178" i="1"/>
  <c r="B179" i="1"/>
  <c r="D180" i="1" s="1"/>
  <c r="A180" i="1"/>
  <c r="C176" i="3" l="1"/>
  <c r="A178" i="3"/>
  <c r="B178" i="3" s="1"/>
  <c r="D179" i="3" s="1"/>
  <c r="C179" i="1"/>
  <c r="B180" i="1"/>
  <c r="D181" i="1" s="1"/>
  <c r="A181" i="1"/>
  <c r="C177" i="3" l="1"/>
  <c r="A179" i="3"/>
  <c r="B179" i="3" s="1"/>
  <c r="D180" i="3" s="1"/>
  <c r="C180" i="1"/>
  <c r="B181" i="1"/>
  <c r="D182" i="1" s="1"/>
  <c r="A182" i="1"/>
  <c r="A180" i="3" l="1"/>
  <c r="B180" i="3" s="1"/>
  <c r="D181" i="3" s="1"/>
  <c r="C178" i="3"/>
  <c r="C181" i="1"/>
  <c r="B182" i="1"/>
  <c r="D183" i="1" s="1"/>
  <c r="A183" i="1"/>
  <c r="C179" i="3" l="1"/>
  <c r="A181" i="3"/>
  <c r="B181" i="3" s="1"/>
  <c r="D182" i="3" s="1"/>
  <c r="C182" i="1"/>
  <c r="B183" i="1"/>
  <c r="D184" i="1" s="1"/>
  <c r="A184" i="1"/>
  <c r="C183" i="1" l="1"/>
  <c r="A182" i="3"/>
  <c r="B182" i="3" s="1"/>
  <c r="D183" i="3" s="1"/>
  <c r="C180" i="3"/>
  <c r="B184" i="1"/>
  <c r="D185" i="1" s="1"/>
  <c r="A185" i="1"/>
  <c r="C184" i="1" l="1"/>
  <c r="C181" i="3"/>
  <c r="A183" i="3"/>
  <c r="B183" i="3" s="1"/>
  <c r="D184" i="3" s="1"/>
  <c r="B185" i="1"/>
  <c r="D186" i="1" s="1"/>
  <c r="A186" i="1"/>
  <c r="C185" i="1" l="1"/>
  <c r="C182" i="3"/>
  <c r="A184" i="3"/>
  <c r="B184" i="3" s="1"/>
  <c r="D185" i="3" s="1"/>
  <c r="B186" i="1"/>
  <c r="D187" i="1" s="1"/>
  <c r="A187" i="1"/>
  <c r="A185" i="3" l="1"/>
  <c r="B185" i="3" s="1"/>
  <c r="D186" i="3" s="1"/>
  <c r="C183" i="3"/>
  <c r="C186" i="1"/>
  <c r="B187" i="1"/>
  <c r="D188" i="1" s="1"/>
  <c r="A188" i="1"/>
  <c r="C184" i="3" l="1"/>
  <c r="A186" i="3"/>
  <c r="B186" i="3" s="1"/>
  <c r="D187" i="3" s="1"/>
  <c r="C187" i="1"/>
  <c r="B188" i="1"/>
  <c r="D189" i="1" s="1"/>
  <c r="A189" i="1"/>
  <c r="C185" i="3" l="1"/>
  <c r="A187" i="3"/>
  <c r="B187" i="3" s="1"/>
  <c r="D188" i="3" s="1"/>
  <c r="C188" i="1"/>
  <c r="B189" i="1"/>
  <c r="D190" i="1" s="1"/>
  <c r="A190" i="1"/>
  <c r="C186" i="3" l="1"/>
  <c r="A188" i="3"/>
  <c r="B188" i="3" s="1"/>
  <c r="D189" i="3" s="1"/>
  <c r="B190" i="1"/>
  <c r="D191" i="1" s="1"/>
  <c r="C189" i="1"/>
  <c r="A191" i="1"/>
  <c r="C190" i="1" l="1"/>
  <c r="C187" i="3"/>
  <c r="A189" i="3"/>
  <c r="B189" i="3" s="1"/>
  <c r="D190" i="3" s="1"/>
  <c r="B191" i="1"/>
  <c r="D192" i="1" s="1"/>
  <c r="A192" i="1"/>
  <c r="C191" i="1" l="1"/>
  <c r="C188" i="3"/>
  <c r="A190" i="3"/>
  <c r="B190" i="3" s="1"/>
  <c r="D191" i="3" s="1"/>
  <c r="B192" i="1"/>
  <c r="D193" i="1" s="1"/>
  <c r="A193" i="1"/>
  <c r="C192" i="1" l="1"/>
  <c r="C189" i="3"/>
  <c r="A191" i="3"/>
  <c r="B191" i="3" s="1"/>
  <c r="D192" i="3" s="1"/>
  <c r="B193" i="1"/>
  <c r="D194" i="1" s="1"/>
  <c r="A194" i="1"/>
  <c r="C190" i="3" l="1"/>
  <c r="A192" i="3"/>
  <c r="B192" i="3" s="1"/>
  <c r="D193" i="3" s="1"/>
  <c r="C193" i="1"/>
  <c r="B194" i="1"/>
  <c r="D195" i="1" s="1"/>
  <c r="A195" i="1"/>
  <c r="C191" i="3" l="1"/>
  <c r="A193" i="3"/>
  <c r="B193" i="3" s="1"/>
  <c r="D194" i="3" s="1"/>
  <c r="C194" i="1"/>
  <c r="B195" i="1"/>
  <c r="D196" i="1" s="1"/>
  <c r="A196" i="1"/>
  <c r="C192" i="3" l="1"/>
  <c r="A194" i="3"/>
  <c r="B194" i="3" s="1"/>
  <c r="D195" i="3" s="1"/>
  <c r="C195" i="1"/>
  <c r="B196" i="1"/>
  <c r="D197" i="1" s="1"/>
  <c r="A197" i="1"/>
  <c r="A195" i="3" l="1"/>
  <c r="B195" i="3" s="1"/>
  <c r="D196" i="3" s="1"/>
  <c r="C193" i="3"/>
  <c r="C196" i="1"/>
  <c r="B197" i="1"/>
  <c r="D198" i="1" s="1"/>
  <c r="A198" i="1"/>
  <c r="C197" i="1" l="1"/>
  <c r="C194" i="3"/>
  <c r="A196" i="3"/>
  <c r="B196" i="3" s="1"/>
  <c r="D197" i="3" s="1"/>
  <c r="B198" i="1"/>
  <c r="D199" i="1" s="1"/>
  <c r="A199" i="1"/>
  <c r="C198" i="1" l="1"/>
  <c r="A197" i="3"/>
  <c r="B197" i="3" s="1"/>
  <c r="D198" i="3" s="1"/>
  <c r="C195" i="3"/>
  <c r="B199" i="1"/>
  <c r="D200" i="1" s="1"/>
  <c r="A200" i="1"/>
  <c r="C196" i="3" l="1"/>
  <c r="A198" i="3"/>
  <c r="B198" i="3" s="1"/>
  <c r="D199" i="3" s="1"/>
  <c r="C199" i="1"/>
  <c r="B200" i="1"/>
  <c r="D201" i="1" s="1"/>
  <c r="A201" i="1"/>
  <c r="C197" i="3" l="1"/>
  <c r="A199" i="3"/>
  <c r="B199" i="3" s="1"/>
  <c r="D200" i="3" s="1"/>
  <c r="C200" i="1"/>
  <c r="B201" i="1"/>
  <c r="D202" i="1" s="1"/>
  <c r="A202" i="1"/>
  <c r="A200" i="3" l="1"/>
  <c r="B200" i="3" s="1"/>
  <c r="D201" i="3" s="1"/>
  <c r="C198" i="3"/>
  <c r="C201" i="1"/>
  <c r="B202" i="1"/>
  <c r="D203" i="1" s="1"/>
  <c r="A203" i="1"/>
  <c r="C199" i="3" l="1"/>
  <c r="A201" i="3"/>
  <c r="B201" i="3" s="1"/>
  <c r="D202" i="3" s="1"/>
  <c r="C202" i="1"/>
  <c r="B203" i="1"/>
  <c r="D204" i="1" s="1"/>
  <c r="A204" i="1"/>
  <c r="A202" i="3" l="1"/>
  <c r="B202" i="3" s="1"/>
  <c r="D203" i="3" s="1"/>
  <c r="C200" i="3"/>
  <c r="C203" i="1"/>
  <c r="B204" i="1"/>
  <c r="D205" i="1" s="1"/>
  <c r="A205" i="1"/>
  <c r="C201" i="3" l="1"/>
  <c r="A203" i="3"/>
  <c r="B203" i="3" s="1"/>
  <c r="D204" i="3" s="1"/>
  <c r="C204" i="1"/>
  <c r="B205" i="1"/>
  <c r="D206" i="1" s="1"/>
  <c r="A206" i="1"/>
  <c r="C202" i="3" l="1"/>
  <c r="A204" i="3"/>
  <c r="B204" i="3" s="1"/>
  <c r="D205" i="3" s="1"/>
  <c r="C205" i="1"/>
  <c r="B206" i="1"/>
  <c r="D207" i="1" s="1"/>
  <c r="A207" i="1"/>
  <c r="A205" i="3" l="1"/>
  <c r="B205" i="3" s="1"/>
  <c r="D206" i="3" s="1"/>
  <c r="C203" i="3"/>
  <c r="C206" i="1"/>
  <c r="B207" i="1"/>
  <c r="D208" i="1" s="1"/>
  <c r="A208" i="1"/>
  <c r="C207" i="1" l="1"/>
  <c r="C204" i="3"/>
  <c r="A206" i="3"/>
  <c r="B206" i="3" s="1"/>
  <c r="D207" i="3" s="1"/>
  <c r="B208" i="1"/>
  <c r="D209" i="1" s="1"/>
  <c r="A209" i="1"/>
  <c r="A207" i="3" l="1"/>
  <c r="B207" i="3" s="1"/>
  <c r="D208" i="3" s="1"/>
  <c r="C205" i="3"/>
  <c r="C208" i="1"/>
  <c r="B209" i="1"/>
  <c r="D210" i="1" s="1"/>
  <c r="A210" i="1"/>
  <c r="C206" i="3" l="1"/>
  <c r="A208" i="3"/>
  <c r="B208" i="3" s="1"/>
  <c r="D209" i="3" s="1"/>
  <c r="C209" i="1"/>
  <c r="B210" i="1"/>
  <c r="D211" i="1" s="1"/>
  <c r="A211" i="1"/>
  <c r="C207" i="3" l="1"/>
  <c r="A209" i="3"/>
  <c r="B209" i="3" s="1"/>
  <c r="D210" i="3" s="1"/>
  <c r="C210" i="1"/>
  <c r="B211" i="1"/>
  <c r="D212" i="1" s="1"/>
  <c r="A212" i="1"/>
  <c r="C208" i="3" l="1"/>
  <c r="A210" i="3"/>
  <c r="B210" i="3" s="1"/>
  <c r="D211" i="3" s="1"/>
  <c r="C211" i="1"/>
  <c r="B212" i="1"/>
  <c r="D213" i="1" s="1"/>
  <c r="A213" i="1"/>
  <c r="A211" i="3" l="1"/>
  <c r="B211" i="3" s="1"/>
  <c r="D212" i="3" s="1"/>
  <c r="C209" i="3"/>
  <c r="C212" i="1"/>
  <c r="B213" i="1"/>
  <c r="D214" i="1" s="1"/>
  <c r="A214" i="1"/>
  <c r="A212" i="3" l="1"/>
  <c r="B212" i="3" s="1"/>
  <c r="D213" i="3" s="1"/>
  <c r="C210" i="3"/>
  <c r="C213" i="1"/>
  <c r="B214" i="1"/>
  <c r="D215" i="1" s="1"/>
  <c r="A215" i="1"/>
  <c r="C211" i="3" l="1"/>
  <c r="A213" i="3"/>
  <c r="B213" i="3" s="1"/>
  <c r="D214" i="3" s="1"/>
  <c r="C214" i="1"/>
  <c r="B215" i="1"/>
  <c r="D216" i="1" s="1"/>
  <c r="A216" i="1"/>
  <c r="C212" i="3" l="1"/>
  <c r="A214" i="3"/>
  <c r="B214" i="3" s="1"/>
  <c r="D215" i="3" s="1"/>
  <c r="C215" i="1"/>
  <c r="B216" i="1"/>
  <c r="D217" i="1" s="1"/>
  <c r="A217" i="1"/>
  <c r="A215" i="3" l="1"/>
  <c r="B215" i="3" s="1"/>
  <c r="D216" i="3" s="1"/>
  <c r="C213" i="3"/>
  <c r="C216" i="1"/>
  <c r="B217" i="1"/>
  <c r="D218" i="1" s="1"/>
  <c r="A218" i="1"/>
  <c r="C217" i="1" l="1"/>
  <c r="C214" i="3"/>
  <c r="A216" i="3"/>
  <c r="B216" i="3" s="1"/>
  <c r="D217" i="3" s="1"/>
  <c r="B218" i="1"/>
  <c r="D219" i="1" s="1"/>
  <c r="A219" i="1"/>
  <c r="A217" i="3" l="1"/>
  <c r="B217" i="3" s="1"/>
  <c r="D218" i="3" s="1"/>
  <c r="C215" i="3"/>
  <c r="C218" i="1"/>
  <c r="B219" i="1"/>
  <c r="D220" i="1" s="1"/>
  <c r="A220" i="1"/>
  <c r="C216" i="3" l="1"/>
  <c r="A218" i="3"/>
  <c r="B218" i="3" s="1"/>
  <c r="D219" i="3" s="1"/>
  <c r="C219" i="1"/>
  <c r="B220" i="1"/>
  <c r="D221" i="1" s="1"/>
  <c r="A221" i="1"/>
  <c r="C220" i="1" l="1"/>
  <c r="A219" i="3"/>
  <c r="B219" i="3" s="1"/>
  <c r="D220" i="3" s="1"/>
  <c r="C217" i="3"/>
  <c r="B221" i="1"/>
  <c r="D222" i="1" s="1"/>
  <c r="A222" i="1"/>
  <c r="C221" i="1" l="1"/>
  <c r="A220" i="3"/>
  <c r="B220" i="3" s="1"/>
  <c r="D221" i="3" s="1"/>
  <c r="C218" i="3"/>
  <c r="B222" i="1"/>
  <c r="D223" i="1" s="1"/>
  <c r="A223" i="1"/>
  <c r="C222" i="1" l="1"/>
  <c r="C219" i="3"/>
  <c r="A221" i="3"/>
  <c r="B221" i="3" s="1"/>
  <c r="D222" i="3" s="1"/>
  <c r="B223" i="1"/>
  <c r="D224" i="1" s="1"/>
  <c r="A224" i="1"/>
  <c r="C220" i="3" l="1"/>
  <c r="A222" i="3"/>
  <c r="B222" i="3" s="1"/>
  <c r="D223" i="3" s="1"/>
  <c r="C223" i="1"/>
  <c r="B224" i="1"/>
  <c r="D225" i="1" s="1"/>
  <c r="A225" i="1"/>
  <c r="C221" i="3" l="1"/>
  <c r="A223" i="3"/>
  <c r="B223" i="3" s="1"/>
  <c r="D224" i="3" s="1"/>
  <c r="C224" i="1"/>
  <c r="B225" i="1"/>
  <c r="D226" i="1" s="1"/>
  <c r="A226" i="1"/>
  <c r="C222" i="3" l="1"/>
  <c r="A224" i="3"/>
  <c r="B224" i="3" s="1"/>
  <c r="D225" i="3" s="1"/>
  <c r="C225" i="1"/>
  <c r="B226" i="1"/>
  <c r="D227" i="1" s="1"/>
  <c r="A227" i="1"/>
  <c r="C226" i="1" l="1"/>
  <c r="A225" i="3"/>
  <c r="B225" i="3" s="1"/>
  <c r="D226" i="3" s="1"/>
  <c r="C223" i="3"/>
  <c r="B227" i="1"/>
  <c r="D228" i="1" s="1"/>
  <c r="A228" i="1"/>
  <c r="C227" i="1" l="1"/>
  <c r="A226" i="3"/>
  <c r="B226" i="3" s="1"/>
  <c r="D227" i="3" s="1"/>
  <c r="C224" i="3"/>
  <c r="B228" i="1"/>
  <c r="D229" i="1" s="1"/>
  <c r="C225" i="3" l="1"/>
  <c r="A227" i="3"/>
  <c r="B227" i="3" s="1"/>
  <c r="D228" i="3" s="1"/>
  <c r="C228" i="1"/>
  <c r="C226" i="3" l="1"/>
  <c r="A228" i="3"/>
  <c r="B228" i="3" s="1"/>
  <c r="D229" i="3" s="1"/>
  <c r="C228" i="3" l="1"/>
  <c r="C227" i="3"/>
</calcChain>
</file>

<file path=xl/sharedStrings.xml><?xml version="1.0" encoding="utf-8"?>
<sst xmlns="http://schemas.openxmlformats.org/spreadsheetml/2006/main" count="149" uniqueCount="58">
  <si>
    <t>Vin</t>
  </si>
  <si>
    <t>Vout</t>
  </si>
  <si>
    <t>Setting output voltage</t>
  </si>
  <si>
    <t>R1</t>
  </si>
  <si>
    <t>R2</t>
  </si>
  <si>
    <t>kΩ</t>
  </si>
  <si>
    <t>V</t>
  </si>
  <si>
    <t>Fs</t>
  </si>
  <si>
    <t>kHz</t>
  </si>
  <si>
    <t>Inductor</t>
  </si>
  <si>
    <t>∆𝐈</t>
  </si>
  <si>
    <t>A</t>
  </si>
  <si>
    <t>uH</t>
  </si>
  <si>
    <t>IL peak</t>
  </si>
  <si>
    <t>Iout</t>
  </si>
  <si>
    <t>uF</t>
  </si>
  <si>
    <t>Input data</t>
  </si>
  <si>
    <t>DCR</t>
  </si>
  <si>
    <t>mΩ</t>
  </si>
  <si>
    <t>Dissipated P</t>
  </si>
  <si>
    <t>W</t>
  </si>
  <si>
    <t>IL(min)</t>
  </si>
  <si>
    <t>IL(max)</t>
  </si>
  <si>
    <t>iL(t)</t>
  </si>
  <si>
    <t>Period</t>
  </si>
  <si>
    <t>us</t>
  </si>
  <si>
    <t>Time (us)</t>
  </si>
  <si>
    <t>Duty cycle</t>
  </si>
  <si>
    <t>%</t>
  </si>
  <si>
    <t>ON Time</t>
  </si>
  <si>
    <t>OFF Time</t>
  </si>
  <si>
    <t>Period slice</t>
  </si>
  <si>
    <t>ON Slope</t>
  </si>
  <si>
    <t>OFF slope</t>
  </si>
  <si>
    <t>Fsw</t>
  </si>
  <si>
    <t>A/us</t>
  </si>
  <si>
    <t>Vref</t>
  </si>
  <si>
    <t>Switching frequency</t>
  </si>
  <si>
    <t>Ω</t>
  </si>
  <si>
    <t>Load Rcritical</t>
  </si>
  <si>
    <t>Iout DCM-CCM threshold</t>
  </si>
  <si>
    <t>Recommended L</t>
  </si>
  <si>
    <t>Selected L</t>
  </si>
  <si>
    <t>Current analysis (selected L)</t>
  </si>
  <si>
    <t>DS Check</t>
  </si>
  <si>
    <t>IL Ripple (%)</t>
  </si>
  <si>
    <t>:1</t>
  </si>
  <si>
    <t>L2 inductance</t>
  </si>
  <si>
    <t>k</t>
  </si>
  <si>
    <t>Nps:N2</t>
  </si>
  <si>
    <t>Lpri inductance</t>
  </si>
  <si>
    <t>Lpri leak</t>
  </si>
  <si>
    <t>Output capacitor</t>
  </si>
  <si>
    <t>∆Vout</t>
  </si>
  <si>
    <t>Overshoot</t>
  </si>
  <si>
    <t>Cout min (∆Vout)</t>
  </si>
  <si>
    <t>Cout min (∆Vout, Overshoot)</t>
  </si>
  <si>
    <t>SLVA477B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</si>
</sst>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Inductor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Buck!$C$13</c:f>
              <c:strCache>
                <c:ptCount val="1"/>
                <c:pt idx="0">
                  <c:v>iL(t)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Buck!$A$14:$A$228</c:f>
              <c:numCache>
                <c:formatCode>General</c:formatCode>
                <c:ptCount val="215"/>
                <c:pt idx="0">
                  <c:v>0</c:v>
                </c:pt>
                <c:pt idx="1">
                  <c:v>1.9801980198019802E-2</c:v>
                </c:pt>
                <c:pt idx="2">
                  <c:v>3.9603960396039604E-2</c:v>
                </c:pt>
                <c:pt idx="3">
                  <c:v>5.9405940594059403E-2</c:v>
                </c:pt>
                <c:pt idx="4">
                  <c:v>7.9207920792079209E-2</c:v>
                </c:pt>
                <c:pt idx="5">
                  <c:v>9.9009900990099015E-2</c:v>
                </c:pt>
                <c:pt idx="6">
                  <c:v>0.11881188118811882</c:v>
                </c:pt>
                <c:pt idx="7">
                  <c:v>0.13861386138613863</c:v>
                </c:pt>
                <c:pt idx="8">
                  <c:v>0.15841584158415842</c:v>
                </c:pt>
                <c:pt idx="9">
                  <c:v>0.17821782178217821</c:v>
                </c:pt>
                <c:pt idx="10">
                  <c:v>0.198019801980198</c:v>
                </c:pt>
                <c:pt idx="11">
                  <c:v>0.21782178217821779</c:v>
                </c:pt>
                <c:pt idx="12">
                  <c:v>0.23762376237623759</c:v>
                </c:pt>
                <c:pt idx="13">
                  <c:v>0.25742574257425738</c:v>
                </c:pt>
                <c:pt idx="14">
                  <c:v>0.2772277227722772</c:v>
                </c:pt>
                <c:pt idx="15">
                  <c:v>0.29702970297029702</c:v>
                </c:pt>
                <c:pt idx="16">
                  <c:v>0.31683168316831684</c:v>
                </c:pt>
                <c:pt idx="17">
                  <c:v>0.33663366336633666</c:v>
                </c:pt>
                <c:pt idx="18">
                  <c:v>0.35643564356435647</c:v>
                </c:pt>
                <c:pt idx="19">
                  <c:v>0.37623762376237629</c:v>
                </c:pt>
                <c:pt idx="20">
                  <c:v>0.39603960396039611</c:v>
                </c:pt>
                <c:pt idx="21">
                  <c:v>0.41584158415841593</c:v>
                </c:pt>
                <c:pt idx="22">
                  <c:v>0.43564356435643575</c:v>
                </c:pt>
                <c:pt idx="23">
                  <c:v>0.45544554455445557</c:v>
                </c:pt>
                <c:pt idx="24">
                  <c:v>0.47524752475247539</c:v>
                </c:pt>
                <c:pt idx="25">
                  <c:v>0.49504950495049521</c:v>
                </c:pt>
                <c:pt idx="26">
                  <c:v>0.51485148514851498</c:v>
                </c:pt>
                <c:pt idx="27">
                  <c:v>0.5346534653465348</c:v>
                </c:pt>
                <c:pt idx="28">
                  <c:v>0.55445544554455461</c:v>
                </c:pt>
                <c:pt idx="29">
                  <c:v>0.57425742574257443</c:v>
                </c:pt>
                <c:pt idx="30">
                  <c:v>0.59405940594059425</c:v>
                </c:pt>
                <c:pt idx="31">
                  <c:v>0.61386138613861407</c:v>
                </c:pt>
                <c:pt idx="32">
                  <c:v>0.63366336633663389</c:v>
                </c:pt>
                <c:pt idx="33">
                  <c:v>0.65346534653465371</c:v>
                </c:pt>
                <c:pt idx="34">
                  <c:v>0.67326732673267353</c:v>
                </c:pt>
                <c:pt idx="35">
                  <c:v>0.69306930693069335</c:v>
                </c:pt>
                <c:pt idx="36">
                  <c:v>0.71287128712871317</c:v>
                </c:pt>
                <c:pt idx="37">
                  <c:v>0.73267326732673299</c:v>
                </c:pt>
                <c:pt idx="38">
                  <c:v>0.75247524752475281</c:v>
                </c:pt>
                <c:pt idx="39">
                  <c:v>0.77227722772277263</c:v>
                </c:pt>
                <c:pt idx="40">
                  <c:v>0.79207920792079245</c:v>
                </c:pt>
                <c:pt idx="41">
                  <c:v>0.81188118811881227</c:v>
                </c:pt>
                <c:pt idx="42">
                  <c:v>0.83168316831683209</c:v>
                </c:pt>
                <c:pt idx="43">
                  <c:v>0.85148514851485191</c:v>
                </c:pt>
                <c:pt idx="44">
                  <c:v>0.87128712871287173</c:v>
                </c:pt>
                <c:pt idx="45">
                  <c:v>0.89108910891089155</c:v>
                </c:pt>
                <c:pt idx="46">
                  <c:v>0.91089108910891137</c:v>
                </c:pt>
                <c:pt idx="47">
                  <c:v>0.93069306930693119</c:v>
                </c:pt>
                <c:pt idx="48">
                  <c:v>0.95049504950495101</c:v>
                </c:pt>
                <c:pt idx="49">
                  <c:v>0.97029702970297083</c:v>
                </c:pt>
                <c:pt idx="50">
                  <c:v>0.99009900990099065</c:v>
                </c:pt>
                <c:pt idx="51">
                  <c:v>1.0099009900990104</c:v>
                </c:pt>
                <c:pt idx="52">
                  <c:v>1.0297029702970302</c:v>
                </c:pt>
                <c:pt idx="53">
                  <c:v>1.04950495049505</c:v>
                </c:pt>
                <c:pt idx="54">
                  <c:v>1.0693069306930698</c:v>
                </c:pt>
                <c:pt idx="55">
                  <c:v>1.0891089108910896</c:v>
                </c:pt>
                <c:pt idx="56">
                  <c:v>1.1089108910891095</c:v>
                </c:pt>
                <c:pt idx="57">
                  <c:v>1.1287128712871293</c:v>
                </c:pt>
                <c:pt idx="58">
                  <c:v>1.1485148514851491</c:v>
                </c:pt>
                <c:pt idx="59">
                  <c:v>1.1683168316831689</c:v>
                </c:pt>
                <c:pt idx="60">
                  <c:v>1.1881188118811887</c:v>
                </c:pt>
                <c:pt idx="61">
                  <c:v>1.2079207920792085</c:v>
                </c:pt>
                <c:pt idx="62">
                  <c:v>1.2277227722772284</c:v>
                </c:pt>
                <c:pt idx="63">
                  <c:v>1.2475247524752482</c:v>
                </c:pt>
                <c:pt idx="64">
                  <c:v>1.267326732673268</c:v>
                </c:pt>
                <c:pt idx="65">
                  <c:v>1.2871287128712878</c:v>
                </c:pt>
                <c:pt idx="66">
                  <c:v>1.3069306930693076</c:v>
                </c:pt>
                <c:pt idx="67">
                  <c:v>1.3267326732673275</c:v>
                </c:pt>
                <c:pt idx="68">
                  <c:v>1.3465346534653473</c:v>
                </c:pt>
                <c:pt idx="69">
                  <c:v>1.3663366336633671</c:v>
                </c:pt>
                <c:pt idx="70">
                  <c:v>1.3861386138613869</c:v>
                </c:pt>
                <c:pt idx="71">
                  <c:v>1.4059405940594067</c:v>
                </c:pt>
                <c:pt idx="72">
                  <c:v>1.4257425742574266</c:v>
                </c:pt>
                <c:pt idx="73">
                  <c:v>1.4455445544554464</c:v>
                </c:pt>
                <c:pt idx="74">
                  <c:v>1.4653465346534662</c:v>
                </c:pt>
                <c:pt idx="75">
                  <c:v>1.485148514851486</c:v>
                </c:pt>
                <c:pt idx="76">
                  <c:v>1.5049504950495058</c:v>
                </c:pt>
                <c:pt idx="77">
                  <c:v>1.5247524752475257</c:v>
                </c:pt>
                <c:pt idx="78">
                  <c:v>1.5445544554455455</c:v>
                </c:pt>
                <c:pt idx="79">
                  <c:v>1.5643564356435653</c:v>
                </c:pt>
                <c:pt idx="80">
                  <c:v>1.5841584158415851</c:v>
                </c:pt>
                <c:pt idx="81">
                  <c:v>1.6039603960396049</c:v>
                </c:pt>
                <c:pt idx="82">
                  <c:v>1.6237623762376248</c:v>
                </c:pt>
                <c:pt idx="83">
                  <c:v>1.6435643564356446</c:v>
                </c:pt>
                <c:pt idx="84">
                  <c:v>1.6633663366336644</c:v>
                </c:pt>
                <c:pt idx="85">
                  <c:v>1.6831683168316842</c:v>
                </c:pt>
                <c:pt idx="86">
                  <c:v>1.702970297029704</c:v>
                </c:pt>
                <c:pt idx="87">
                  <c:v>1.7227722772277239</c:v>
                </c:pt>
                <c:pt idx="88">
                  <c:v>1.7425742574257437</c:v>
                </c:pt>
                <c:pt idx="89">
                  <c:v>1.7623762376237635</c:v>
                </c:pt>
                <c:pt idx="90">
                  <c:v>1.7821782178217833</c:v>
                </c:pt>
                <c:pt idx="91">
                  <c:v>1.8019801980198031</c:v>
                </c:pt>
                <c:pt idx="92">
                  <c:v>1.821782178217823</c:v>
                </c:pt>
                <c:pt idx="93">
                  <c:v>1.8415841584158428</c:v>
                </c:pt>
                <c:pt idx="94">
                  <c:v>1.8613861386138626</c:v>
                </c:pt>
                <c:pt idx="95">
                  <c:v>1.8811881188118824</c:v>
                </c:pt>
                <c:pt idx="96">
                  <c:v>1.9009900990099022</c:v>
                </c:pt>
                <c:pt idx="97">
                  <c:v>1.9207920792079221</c:v>
                </c:pt>
                <c:pt idx="98">
                  <c:v>1.9405940594059419</c:v>
                </c:pt>
                <c:pt idx="99">
                  <c:v>1.9603960396039617</c:v>
                </c:pt>
                <c:pt idx="100">
                  <c:v>1.9801980198019815</c:v>
                </c:pt>
                <c:pt idx="101">
                  <c:v>2.0000000000000013</c:v>
                </c:pt>
                <c:pt idx="102">
                  <c:v>2.0198019801980212</c:v>
                </c:pt>
                <c:pt idx="103">
                  <c:v>2.039603960396041</c:v>
                </c:pt>
                <c:pt idx="104">
                  <c:v>2.0594059405940608</c:v>
                </c:pt>
                <c:pt idx="105">
                  <c:v>2.0792079207920806</c:v>
                </c:pt>
                <c:pt idx="106">
                  <c:v>2.0990099009901004</c:v>
                </c:pt>
                <c:pt idx="107">
                  <c:v>2.1188118811881202</c:v>
                </c:pt>
                <c:pt idx="108">
                  <c:v>2.1386138613861401</c:v>
                </c:pt>
                <c:pt idx="109">
                  <c:v>2.1584158415841599</c:v>
                </c:pt>
                <c:pt idx="110">
                  <c:v>2.1782178217821797</c:v>
                </c:pt>
                <c:pt idx="111">
                  <c:v>2.1980198019801995</c:v>
                </c:pt>
                <c:pt idx="112">
                  <c:v>2.2178217821782193</c:v>
                </c:pt>
                <c:pt idx="113">
                  <c:v>2.2376237623762392</c:v>
                </c:pt>
                <c:pt idx="114">
                  <c:v>2.257425742574259</c:v>
                </c:pt>
                <c:pt idx="115">
                  <c:v>2.2772277227722788</c:v>
                </c:pt>
                <c:pt idx="116">
                  <c:v>2.2970297029702986</c:v>
                </c:pt>
                <c:pt idx="117">
                  <c:v>2.3168316831683184</c:v>
                </c:pt>
                <c:pt idx="118">
                  <c:v>2.3366336633663383</c:v>
                </c:pt>
                <c:pt idx="119">
                  <c:v>2.3564356435643581</c:v>
                </c:pt>
                <c:pt idx="120">
                  <c:v>2.3762376237623779</c:v>
                </c:pt>
                <c:pt idx="121">
                  <c:v>2.3960396039603977</c:v>
                </c:pt>
                <c:pt idx="122">
                  <c:v>2.4158415841584175</c:v>
                </c:pt>
                <c:pt idx="123">
                  <c:v>2.4356435643564374</c:v>
                </c:pt>
                <c:pt idx="124">
                  <c:v>2.4554455445544572</c:v>
                </c:pt>
                <c:pt idx="125">
                  <c:v>2.475247524752477</c:v>
                </c:pt>
                <c:pt idx="126">
                  <c:v>2.4950495049504968</c:v>
                </c:pt>
                <c:pt idx="127">
                  <c:v>2.5148514851485166</c:v>
                </c:pt>
                <c:pt idx="128">
                  <c:v>2.5346534653465365</c:v>
                </c:pt>
                <c:pt idx="129">
                  <c:v>2.5544554455445563</c:v>
                </c:pt>
                <c:pt idx="130">
                  <c:v>2.5742574257425761</c:v>
                </c:pt>
                <c:pt idx="131">
                  <c:v>2.5940594059405959</c:v>
                </c:pt>
                <c:pt idx="132">
                  <c:v>2.6138613861386157</c:v>
                </c:pt>
                <c:pt idx="133">
                  <c:v>2.6336633663366356</c:v>
                </c:pt>
                <c:pt idx="134">
                  <c:v>2.6534653465346554</c:v>
                </c:pt>
                <c:pt idx="135">
                  <c:v>2.6732673267326752</c:v>
                </c:pt>
                <c:pt idx="136">
                  <c:v>2.693069306930695</c:v>
                </c:pt>
                <c:pt idx="137">
                  <c:v>2.7128712871287148</c:v>
                </c:pt>
                <c:pt idx="138">
                  <c:v>2.7326732673267347</c:v>
                </c:pt>
                <c:pt idx="139">
                  <c:v>2.7524752475247545</c:v>
                </c:pt>
                <c:pt idx="140">
                  <c:v>2.7722772277227743</c:v>
                </c:pt>
                <c:pt idx="141">
                  <c:v>2.7920792079207941</c:v>
                </c:pt>
                <c:pt idx="142">
                  <c:v>2.8118811881188139</c:v>
                </c:pt>
                <c:pt idx="143">
                  <c:v>2.8316831683168338</c:v>
                </c:pt>
                <c:pt idx="144">
                  <c:v>2.8514851485148536</c:v>
                </c:pt>
                <c:pt idx="145">
                  <c:v>2.8712871287128734</c:v>
                </c:pt>
                <c:pt idx="146">
                  <c:v>2.8910891089108932</c:v>
                </c:pt>
                <c:pt idx="147">
                  <c:v>2.910891089108913</c:v>
                </c:pt>
                <c:pt idx="148">
                  <c:v>2.9306930693069329</c:v>
                </c:pt>
                <c:pt idx="149">
                  <c:v>2.9504950495049527</c:v>
                </c:pt>
                <c:pt idx="150">
                  <c:v>2.9702970297029725</c:v>
                </c:pt>
                <c:pt idx="151">
                  <c:v>2.9900990099009923</c:v>
                </c:pt>
                <c:pt idx="152">
                  <c:v>3.0099009900990121</c:v>
                </c:pt>
                <c:pt idx="153">
                  <c:v>3.0297029702970319</c:v>
                </c:pt>
                <c:pt idx="154">
                  <c:v>3.0495049504950518</c:v>
                </c:pt>
                <c:pt idx="155">
                  <c:v>3.0693069306930716</c:v>
                </c:pt>
                <c:pt idx="156">
                  <c:v>3.0891089108910914</c:v>
                </c:pt>
                <c:pt idx="157">
                  <c:v>3.1089108910891112</c:v>
                </c:pt>
                <c:pt idx="158">
                  <c:v>3.128712871287131</c:v>
                </c:pt>
                <c:pt idx="159">
                  <c:v>3.1485148514851509</c:v>
                </c:pt>
                <c:pt idx="160">
                  <c:v>3.1683168316831707</c:v>
                </c:pt>
                <c:pt idx="161">
                  <c:v>3.1881188118811905</c:v>
                </c:pt>
                <c:pt idx="162">
                  <c:v>3.2079207920792103</c:v>
                </c:pt>
                <c:pt idx="163">
                  <c:v>3.2277227722772301</c:v>
                </c:pt>
                <c:pt idx="164">
                  <c:v>3.24752475247525</c:v>
                </c:pt>
                <c:pt idx="165">
                  <c:v>3.2673267326732698</c:v>
                </c:pt>
                <c:pt idx="166">
                  <c:v>3.2871287128712896</c:v>
                </c:pt>
                <c:pt idx="167">
                  <c:v>3.3069306930693094</c:v>
                </c:pt>
                <c:pt idx="168">
                  <c:v>3.3267326732673292</c:v>
                </c:pt>
                <c:pt idx="169">
                  <c:v>3.3465346534653491</c:v>
                </c:pt>
                <c:pt idx="170">
                  <c:v>3.3663366336633689</c:v>
                </c:pt>
                <c:pt idx="171">
                  <c:v>3.3861386138613887</c:v>
                </c:pt>
                <c:pt idx="172">
                  <c:v>3.4059405940594085</c:v>
                </c:pt>
                <c:pt idx="173">
                  <c:v>3.4257425742574283</c:v>
                </c:pt>
                <c:pt idx="174">
                  <c:v>3.4455445544554482</c:v>
                </c:pt>
                <c:pt idx="175">
                  <c:v>3.465346534653468</c:v>
                </c:pt>
                <c:pt idx="176">
                  <c:v>3.4851485148514878</c:v>
                </c:pt>
                <c:pt idx="177">
                  <c:v>3.5049504950495076</c:v>
                </c:pt>
                <c:pt idx="178">
                  <c:v>3.5247524752475274</c:v>
                </c:pt>
                <c:pt idx="179">
                  <c:v>3.5445544554455473</c:v>
                </c:pt>
                <c:pt idx="180">
                  <c:v>3.5643564356435671</c:v>
                </c:pt>
                <c:pt idx="181">
                  <c:v>3.5841584158415869</c:v>
                </c:pt>
                <c:pt idx="182">
                  <c:v>3.6039603960396067</c:v>
                </c:pt>
                <c:pt idx="183">
                  <c:v>3.6237623762376265</c:v>
                </c:pt>
                <c:pt idx="184">
                  <c:v>3.6435643564356464</c:v>
                </c:pt>
                <c:pt idx="185">
                  <c:v>3.6633663366336662</c:v>
                </c:pt>
                <c:pt idx="186">
                  <c:v>3.683168316831686</c:v>
                </c:pt>
                <c:pt idx="187">
                  <c:v>3.7029702970297058</c:v>
                </c:pt>
                <c:pt idx="188">
                  <c:v>3.7227722772277256</c:v>
                </c:pt>
                <c:pt idx="189">
                  <c:v>3.7425742574257455</c:v>
                </c:pt>
                <c:pt idx="190">
                  <c:v>3.7623762376237653</c:v>
                </c:pt>
                <c:pt idx="191">
                  <c:v>3.7821782178217851</c:v>
                </c:pt>
                <c:pt idx="192">
                  <c:v>3.8019801980198049</c:v>
                </c:pt>
                <c:pt idx="193">
                  <c:v>3.8217821782178247</c:v>
                </c:pt>
                <c:pt idx="194">
                  <c:v>3.8415841584158446</c:v>
                </c:pt>
                <c:pt idx="195">
                  <c:v>3.8613861386138644</c:v>
                </c:pt>
                <c:pt idx="196">
                  <c:v>3.8811881188118842</c:v>
                </c:pt>
                <c:pt idx="197">
                  <c:v>3.900990099009904</c:v>
                </c:pt>
                <c:pt idx="198">
                  <c:v>3.9207920792079238</c:v>
                </c:pt>
                <c:pt idx="199">
                  <c:v>3.9405940594059436</c:v>
                </c:pt>
                <c:pt idx="200">
                  <c:v>3.9603960396039635</c:v>
                </c:pt>
                <c:pt idx="201">
                  <c:v>3.9801980198019833</c:v>
                </c:pt>
                <c:pt idx="202">
                  <c:v>4.0000000000000027</c:v>
                </c:pt>
                <c:pt idx="203">
                  <c:v>4.0198019801980225</c:v>
                </c:pt>
                <c:pt idx="204">
                  <c:v>4.0396039603960423</c:v>
                </c:pt>
                <c:pt idx="205">
                  <c:v>4.0594059405940621</c:v>
                </c:pt>
                <c:pt idx="206">
                  <c:v>4.0792079207920819</c:v>
                </c:pt>
                <c:pt idx="207">
                  <c:v>4.0990099009901018</c:v>
                </c:pt>
                <c:pt idx="208">
                  <c:v>4.1188118811881216</c:v>
                </c:pt>
                <c:pt idx="209">
                  <c:v>4.1386138613861414</c:v>
                </c:pt>
                <c:pt idx="210">
                  <c:v>4.1584158415841612</c:v>
                </c:pt>
                <c:pt idx="211">
                  <c:v>4.178217821782181</c:v>
                </c:pt>
                <c:pt idx="212">
                  <c:v>4.1980198019802009</c:v>
                </c:pt>
                <c:pt idx="213">
                  <c:v>4.2178217821782207</c:v>
                </c:pt>
                <c:pt idx="214">
                  <c:v>4.2376237623762405</c:v>
                </c:pt>
              </c:numCache>
            </c:numRef>
          </c:xVal>
          <c:yVal>
            <c:numRef>
              <c:f>Buck!$C$14:$C$228</c:f>
              <c:numCache>
                <c:formatCode>General</c:formatCode>
                <c:ptCount val="215"/>
                <c:pt idx="0">
                  <c:v>3.0146573480877499</c:v>
                </c:pt>
                <c:pt idx="1">
                  <c:v>3.0728984663172199</c:v>
                </c:pt>
                <c:pt idx="2">
                  <c:v>3.1311395845466898</c:v>
                </c:pt>
                <c:pt idx="3">
                  <c:v>3.1893807027761598</c:v>
                </c:pt>
                <c:pt idx="4">
                  <c:v>3.2476218210056298</c:v>
                </c:pt>
                <c:pt idx="5">
                  <c:v>3.3058629392350998</c:v>
                </c:pt>
                <c:pt idx="6">
                  <c:v>3.3641040574645702</c:v>
                </c:pt>
                <c:pt idx="7">
                  <c:v>3.4223451756940402</c:v>
                </c:pt>
                <c:pt idx="8">
                  <c:v>3.4805862939235102</c:v>
                </c:pt>
                <c:pt idx="9">
                  <c:v>3.5388274121529797</c:v>
                </c:pt>
                <c:pt idx="10">
                  <c:v>3.5970685303824501</c:v>
                </c:pt>
                <c:pt idx="11">
                  <c:v>3.6553096486119196</c:v>
                </c:pt>
                <c:pt idx="12">
                  <c:v>3.7135507668413901</c:v>
                </c:pt>
                <c:pt idx="13">
                  <c:v>3.7717918850708596</c:v>
                </c:pt>
                <c:pt idx="14">
                  <c:v>3.83003300330033</c:v>
                </c:pt>
                <c:pt idx="15">
                  <c:v>3.8882741215298</c:v>
                </c:pt>
                <c:pt idx="16">
                  <c:v>3.94651523975927</c:v>
                </c:pt>
                <c:pt idx="17">
                  <c:v>3.9814599106969522</c:v>
                </c:pt>
                <c:pt idx="18">
                  <c:v>3.9698116870510582</c:v>
                </c:pt>
                <c:pt idx="19">
                  <c:v>3.9581634634051639</c:v>
                </c:pt>
                <c:pt idx="20">
                  <c:v>3.94651523975927</c:v>
                </c:pt>
                <c:pt idx="21">
                  <c:v>3.9348670161133761</c:v>
                </c:pt>
                <c:pt idx="22">
                  <c:v>3.9232187924674822</c:v>
                </c:pt>
                <c:pt idx="23">
                  <c:v>3.9115705688215883</c:v>
                </c:pt>
                <c:pt idx="24">
                  <c:v>3.8999223451756939</c:v>
                </c:pt>
                <c:pt idx="25">
                  <c:v>3.8882741215298</c:v>
                </c:pt>
                <c:pt idx="26">
                  <c:v>3.8766258978839061</c:v>
                </c:pt>
                <c:pt idx="27">
                  <c:v>3.8649776742380122</c:v>
                </c:pt>
                <c:pt idx="28">
                  <c:v>3.8533294505921178</c:v>
                </c:pt>
                <c:pt idx="29">
                  <c:v>3.8416812269462239</c:v>
                </c:pt>
                <c:pt idx="30">
                  <c:v>3.83003300330033</c:v>
                </c:pt>
                <c:pt idx="31">
                  <c:v>3.8183847796544361</c:v>
                </c:pt>
                <c:pt idx="32">
                  <c:v>3.8067365560085422</c:v>
                </c:pt>
                <c:pt idx="33">
                  <c:v>3.7950883323626479</c:v>
                </c:pt>
                <c:pt idx="34">
                  <c:v>3.783440108716754</c:v>
                </c:pt>
                <c:pt idx="35">
                  <c:v>3.7717918850708601</c:v>
                </c:pt>
                <c:pt idx="36">
                  <c:v>3.7601436614249661</c:v>
                </c:pt>
                <c:pt idx="37">
                  <c:v>3.7484954377790718</c:v>
                </c:pt>
                <c:pt idx="38">
                  <c:v>3.7368472141331779</c:v>
                </c:pt>
                <c:pt idx="39">
                  <c:v>3.725198990487284</c:v>
                </c:pt>
                <c:pt idx="40">
                  <c:v>3.7135507668413901</c:v>
                </c:pt>
                <c:pt idx="41">
                  <c:v>3.7019025431954957</c:v>
                </c:pt>
                <c:pt idx="42">
                  <c:v>3.6902543195496018</c:v>
                </c:pt>
                <c:pt idx="43">
                  <c:v>3.6786060959037079</c:v>
                </c:pt>
                <c:pt idx="44">
                  <c:v>3.666957872257814</c:v>
                </c:pt>
                <c:pt idx="45">
                  <c:v>3.6553096486119196</c:v>
                </c:pt>
                <c:pt idx="46">
                  <c:v>3.6436614249660257</c:v>
                </c:pt>
                <c:pt idx="47">
                  <c:v>3.6320132013201318</c:v>
                </c:pt>
                <c:pt idx="48">
                  <c:v>3.6203649776742379</c:v>
                </c:pt>
                <c:pt idx="49">
                  <c:v>3.608716754028344</c:v>
                </c:pt>
                <c:pt idx="50">
                  <c:v>3.5970685303824497</c:v>
                </c:pt>
                <c:pt idx="51">
                  <c:v>3.5854203067365558</c:v>
                </c:pt>
                <c:pt idx="52">
                  <c:v>3.5737720830906619</c:v>
                </c:pt>
                <c:pt idx="53">
                  <c:v>3.5621238594447679</c:v>
                </c:pt>
                <c:pt idx="54">
                  <c:v>3.5504756357988736</c:v>
                </c:pt>
                <c:pt idx="55">
                  <c:v>3.5388274121529797</c:v>
                </c:pt>
                <c:pt idx="56">
                  <c:v>3.5271791885070858</c:v>
                </c:pt>
                <c:pt idx="57">
                  <c:v>3.5155309648611919</c:v>
                </c:pt>
                <c:pt idx="58">
                  <c:v>3.5038827412152975</c:v>
                </c:pt>
                <c:pt idx="59">
                  <c:v>3.4922345175694036</c:v>
                </c:pt>
                <c:pt idx="60">
                  <c:v>3.4805862939235097</c:v>
                </c:pt>
                <c:pt idx="61">
                  <c:v>3.4689380702776158</c:v>
                </c:pt>
                <c:pt idx="62">
                  <c:v>3.4572898466317215</c:v>
                </c:pt>
                <c:pt idx="63">
                  <c:v>3.4456416229858275</c:v>
                </c:pt>
                <c:pt idx="64">
                  <c:v>3.4339933993399336</c:v>
                </c:pt>
                <c:pt idx="65">
                  <c:v>3.4223451756940397</c:v>
                </c:pt>
                <c:pt idx="66">
                  <c:v>3.4106969520481458</c:v>
                </c:pt>
                <c:pt idx="67">
                  <c:v>3.3990487284022515</c:v>
                </c:pt>
                <c:pt idx="68">
                  <c:v>3.3874005047563576</c:v>
                </c:pt>
                <c:pt idx="69">
                  <c:v>3.3757522811104637</c:v>
                </c:pt>
                <c:pt idx="70">
                  <c:v>3.3641040574645693</c:v>
                </c:pt>
                <c:pt idx="71">
                  <c:v>3.3524558338186754</c:v>
                </c:pt>
                <c:pt idx="72">
                  <c:v>3.3408076101727815</c:v>
                </c:pt>
                <c:pt idx="73">
                  <c:v>3.3291593865268876</c:v>
                </c:pt>
                <c:pt idx="74">
                  <c:v>3.3175111628809937</c:v>
                </c:pt>
                <c:pt idx="75">
                  <c:v>3.3058629392350998</c:v>
                </c:pt>
                <c:pt idx="76">
                  <c:v>3.2942147155892054</c:v>
                </c:pt>
                <c:pt idx="77">
                  <c:v>3.2825664919433115</c:v>
                </c:pt>
                <c:pt idx="78">
                  <c:v>3.2709182682974176</c:v>
                </c:pt>
                <c:pt idx="79">
                  <c:v>3.2592700446515233</c:v>
                </c:pt>
                <c:pt idx="80">
                  <c:v>3.2476218210056294</c:v>
                </c:pt>
                <c:pt idx="81">
                  <c:v>3.2359735973597354</c:v>
                </c:pt>
                <c:pt idx="82">
                  <c:v>3.2243253737138415</c:v>
                </c:pt>
                <c:pt idx="83">
                  <c:v>3.2126771500679476</c:v>
                </c:pt>
                <c:pt idx="84">
                  <c:v>3.2010289264220533</c:v>
                </c:pt>
                <c:pt idx="85">
                  <c:v>3.1893807027761594</c:v>
                </c:pt>
                <c:pt idx="86">
                  <c:v>3.1777324791302655</c:v>
                </c:pt>
                <c:pt idx="87">
                  <c:v>3.1660842554843711</c:v>
                </c:pt>
                <c:pt idx="88">
                  <c:v>3.1544360318384772</c:v>
                </c:pt>
                <c:pt idx="89">
                  <c:v>3.1427878081925833</c:v>
                </c:pt>
                <c:pt idx="90">
                  <c:v>3.1311395845466894</c:v>
                </c:pt>
                <c:pt idx="91">
                  <c:v>3.1194913609007955</c:v>
                </c:pt>
                <c:pt idx="92">
                  <c:v>3.1078431372549016</c:v>
                </c:pt>
                <c:pt idx="93">
                  <c:v>3.0961949136090072</c:v>
                </c:pt>
                <c:pt idx="94">
                  <c:v>3.0845466899631133</c:v>
                </c:pt>
                <c:pt idx="95">
                  <c:v>3.0728984663172194</c:v>
                </c:pt>
                <c:pt idx="96">
                  <c:v>3.0612502426713251</c:v>
                </c:pt>
                <c:pt idx="97">
                  <c:v>3.0496020190254312</c:v>
                </c:pt>
                <c:pt idx="98">
                  <c:v>3.0379537953795372</c:v>
                </c:pt>
                <c:pt idx="99">
                  <c:v>3.0263055717336433</c:v>
                </c:pt>
                <c:pt idx="100">
                  <c:v>3.0146573480877539</c:v>
                </c:pt>
                <c:pt idx="101">
                  <c:v>3.0728984663172239</c:v>
                </c:pt>
                <c:pt idx="102">
                  <c:v>3.1311395845466938</c:v>
                </c:pt>
                <c:pt idx="103">
                  <c:v>3.1893807027761638</c:v>
                </c:pt>
                <c:pt idx="104">
                  <c:v>3.2476218210056342</c:v>
                </c:pt>
                <c:pt idx="105">
                  <c:v>3.3058629392351042</c:v>
                </c:pt>
                <c:pt idx="106">
                  <c:v>3.3641040574645742</c:v>
                </c:pt>
                <c:pt idx="107">
                  <c:v>3.4223451756940442</c:v>
                </c:pt>
                <c:pt idx="108">
                  <c:v>3.4805862939235142</c:v>
                </c:pt>
                <c:pt idx="109">
                  <c:v>3.5388274121529841</c:v>
                </c:pt>
                <c:pt idx="110">
                  <c:v>3.5970685303824546</c:v>
                </c:pt>
                <c:pt idx="111">
                  <c:v>3.6553096486119245</c:v>
                </c:pt>
                <c:pt idx="112">
                  <c:v>3.7135507668413945</c:v>
                </c:pt>
                <c:pt idx="113">
                  <c:v>3.7717918850708645</c:v>
                </c:pt>
                <c:pt idx="114">
                  <c:v>3.8300330033003345</c:v>
                </c:pt>
                <c:pt idx="115">
                  <c:v>3.8882741215298049</c:v>
                </c:pt>
                <c:pt idx="116">
                  <c:v>3.9465152397592749</c:v>
                </c:pt>
                <c:pt idx="117">
                  <c:v>3.9814599106969513</c:v>
                </c:pt>
                <c:pt idx="118">
                  <c:v>3.9698116870510574</c:v>
                </c:pt>
                <c:pt idx="119">
                  <c:v>3.958163463405163</c:v>
                </c:pt>
                <c:pt idx="120">
                  <c:v>3.9465152397592691</c:v>
                </c:pt>
                <c:pt idx="121">
                  <c:v>3.9348670161133752</c:v>
                </c:pt>
                <c:pt idx="122">
                  <c:v>3.9232187924674813</c:v>
                </c:pt>
                <c:pt idx="123">
                  <c:v>3.9115705688215869</c:v>
                </c:pt>
                <c:pt idx="124">
                  <c:v>3.899922345175693</c:v>
                </c:pt>
                <c:pt idx="125">
                  <c:v>3.8882741215297991</c:v>
                </c:pt>
                <c:pt idx="126">
                  <c:v>3.8766258978839052</c:v>
                </c:pt>
                <c:pt idx="127">
                  <c:v>3.8649776742380109</c:v>
                </c:pt>
                <c:pt idx="128">
                  <c:v>3.853329450592117</c:v>
                </c:pt>
                <c:pt idx="129">
                  <c:v>3.841681226946223</c:v>
                </c:pt>
                <c:pt idx="130">
                  <c:v>3.8300330033003291</c:v>
                </c:pt>
                <c:pt idx="131">
                  <c:v>3.8183847796544352</c:v>
                </c:pt>
                <c:pt idx="132">
                  <c:v>3.8067365560085409</c:v>
                </c:pt>
                <c:pt idx="133">
                  <c:v>3.795088332362647</c:v>
                </c:pt>
                <c:pt idx="134">
                  <c:v>3.7834401087167531</c:v>
                </c:pt>
                <c:pt idx="135">
                  <c:v>3.7717918850708592</c:v>
                </c:pt>
                <c:pt idx="136">
                  <c:v>3.7601436614249648</c:v>
                </c:pt>
                <c:pt idx="137">
                  <c:v>3.7484954377790709</c:v>
                </c:pt>
                <c:pt idx="138">
                  <c:v>3.736847214133177</c:v>
                </c:pt>
                <c:pt idx="139">
                  <c:v>3.7251989904872831</c:v>
                </c:pt>
                <c:pt idx="140">
                  <c:v>3.7135507668413887</c:v>
                </c:pt>
                <c:pt idx="141">
                  <c:v>3.7019025431954948</c:v>
                </c:pt>
                <c:pt idx="142">
                  <c:v>3.6902543195496009</c:v>
                </c:pt>
                <c:pt idx="143">
                  <c:v>3.678606095903707</c:v>
                </c:pt>
                <c:pt idx="144">
                  <c:v>3.6669578722578127</c:v>
                </c:pt>
                <c:pt idx="145">
                  <c:v>3.6553096486119188</c:v>
                </c:pt>
                <c:pt idx="146">
                  <c:v>3.6436614249660249</c:v>
                </c:pt>
                <c:pt idx="147">
                  <c:v>3.6320132013201309</c:v>
                </c:pt>
                <c:pt idx="148">
                  <c:v>3.620364977674237</c:v>
                </c:pt>
                <c:pt idx="149">
                  <c:v>3.6087167540283427</c:v>
                </c:pt>
                <c:pt idx="150">
                  <c:v>3.5970685303824488</c:v>
                </c:pt>
                <c:pt idx="151">
                  <c:v>3.5854203067365549</c:v>
                </c:pt>
                <c:pt idx="152">
                  <c:v>3.5737720830906605</c:v>
                </c:pt>
                <c:pt idx="153">
                  <c:v>3.5621238594447666</c:v>
                </c:pt>
                <c:pt idx="154">
                  <c:v>3.5504756357988727</c:v>
                </c:pt>
                <c:pt idx="155">
                  <c:v>3.5388274121529788</c:v>
                </c:pt>
                <c:pt idx="156">
                  <c:v>3.5271791885070849</c:v>
                </c:pt>
                <c:pt idx="157">
                  <c:v>3.5155309648611905</c:v>
                </c:pt>
                <c:pt idx="158">
                  <c:v>3.5038827412152966</c:v>
                </c:pt>
                <c:pt idx="159">
                  <c:v>3.4922345175694027</c:v>
                </c:pt>
                <c:pt idx="160">
                  <c:v>3.4805862939235084</c:v>
                </c:pt>
                <c:pt idx="161">
                  <c:v>3.4689380702776145</c:v>
                </c:pt>
                <c:pt idx="162">
                  <c:v>3.4572898466317206</c:v>
                </c:pt>
                <c:pt idx="163">
                  <c:v>3.4456416229858267</c:v>
                </c:pt>
                <c:pt idx="164">
                  <c:v>3.4339933993399328</c:v>
                </c:pt>
                <c:pt idx="165">
                  <c:v>3.4223451756940388</c:v>
                </c:pt>
                <c:pt idx="166">
                  <c:v>3.4106969520481445</c:v>
                </c:pt>
                <c:pt idx="167">
                  <c:v>3.3990487284022506</c:v>
                </c:pt>
                <c:pt idx="168">
                  <c:v>3.3874005047563567</c:v>
                </c:pt>
                <c:pt idx="169">
                  <c:v>3.3757522811104623</c:v>
                </c:pt>
                <c:pt idx="170">
                  <c:v>3.3641040574645684</c:v>
                </c:pt>
                <c:pt idx="171">
                  <c:v>3.3524558338186745</c:v>
                </c:pt>
                <c:pt idx="172">
                  <c:v>3.3408076101727806</c:v>
                </c:pt>
                <c:pt idx="173">
                  <c:v>3.3291593865268867</c:v>
                </c:pt>
                <c:pt idx="174">
                  <c:v>3.3175111628809923</c:v>
                </c:pt>
                <c:pt idx="175">
                  <c:v>3.3058629392350984</c:v>
                </c:pt>
                <c:pt idx="176">
                  <c:v>3.2942147155892045</c:v>
                </c:pt>
                <c:pt idx="177">
                  <c:v>3.2825664919433102</c:v>
                </c:pt>
                <c:pt idx="178">
                  <c:v>3.2709182682974163</c:v>
                </c:pt>
                <c:pt idx="179">
                  <c:v>3.2592700446515224</c:v>
                </c:pt>
                <c:pt idx="180">
                  <c:v>3.2476218210056285</c:v>
                </c:pt>
                <c:pt idx="181">
                  <c:v>3.2359735973597346</c:v>
                </c:pt>
                <c:pt idx="182">
                  <c:v>3.2243253737138406</c:v>
                </c:pt>
                <c:pt idx="183">
                  <c:v>3.2126771500679463</c:v>
                </c:pt>
                <c:pt idx="184">
                  <c:v>3.2010289264220524</c:v>
                </c:pt>
                <c:pt idx="185">
                  <c:v>3.1893807027761585</c:v>
                </c:pt>
                <c:pt idx="186">
                  <c:v>3.1777324791302641</c:v>
                </c:pt>
                <c:pt idx="187">
                  <c:v>3.1660842554843702</c:v>
                </c:pt>
                <c:pt idx="188">
                  <c:v>3.1544360318384763</c:v>
                </c:pt>
                <c:pt idx="189">
                  <c:v>3.1427878081925824</c:v>
                </c:pt>
                <c:pt idx="190">
                  <c:v>3.1311395845466885</c:v>
                </c:pt>
                <c:pt idx="191">
                  <c:v>3.1194913609007942</c:v>
                </c:pt>
                <c:pt idx="192">
                  <c:v>3.1078431372549002</c:v>
                </c:pt>
                <c:pt idx="193">
                  <c:v>3.0961949136090063</c:v>
                </c:pt>
                <c:pt idx="194">
                  <c:v>3.084546689963112</c:v>
                </c:pt>
                <c:pt idx="195">
                  <c:v>3.0728984663172181</c:v>
                </c:pt>
                <c:pt idx="196">
                  <c:v>3.0612502426713242</c:v>
                </c:pt>
                <c:pt idx="197">
                  <c:v>3.0496020190254303</c:v>
                </c:pt>
                <c:pt idx="198">
                  <c:v>3.0379537953795364</c:v>
                </c:pt>
                <c:pt idx="199">
                  <c:v>3.0263055717336425</c:v>
                </c:pt>
                <c:pt idx="200">
                  <c:v>3.0146573480877592</c:v>
                </c:pt>
                <c:pt idx="201">
                  <c:v>3.0728984663172292</c:v>
                </c:pt>
                <c:pt idx="202">
                  <c:v>3.1311395845466978</c:v>
                </c:pt>
                <c:pt idx="203">
                  <c:v>3.1893807027761678</c:v>
                </c:pt>
                <c:pt idx="204">
                  <c:v>3.2476218210056378</c:v>
                </c:pt>
                <c:pt idx="205">
                  <c:v>3.3058629392351082</c:v>
                </c:pt>
                <c:pt idx="206">
                  <c:v>3.3641040574645782</c:v>
                </c:pt>
                <c:pt idx="207">
                  <c:v>3.4223451756940482</c:v>
                </c:pt>
                <c:pt idx="208">
                  <c:v>3.4805862939235181</c:v>
                </c:pt>
                <c:pt idx="209">
                  <c:v>3.5388274121529881</c:v>
                </c:pt>
                <c:pt idx="210">
                  <c:v>3.5970685303824581</c:v>
                </c:pt>
                <c:pt idx="211">
                  <c:v>3.6553096486119285</c:v>
                </c:pt>
                <c:pt idx="212">
                  <c:v>3.7135507668413985</c:v>
                </c:pt>
                <c:pt idx="213">
                  <c:v>3.7717918850708685</c:v>
                </c:pt>
                <c:pt idx="214">
                  <c:v>3.8300330033003385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64-4C57-87C4-12C5C8FADAA8}"/>
            </c:ext>
          </c:extLst>
        </c:ser>
        <c:ser>
          <c:idx val="0"/>
          <c:order val="1"/>
          <c:tx>
            <c:strRef>
              <c:f>Buck!$D$14</c:f>
              <c:strCache>
                <c:ptCount val="1"/>
                <c:pt idx="0">
                  <c:v>Fsw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Buck!$A$14:$A$228</c:f>
              <c:numCache>
                <c:formatCode>General</c:formatCode>
                <c:ptCount val="215"/>
                <c:pt idx="0">
                  <c:v>0</c:v>
                </c:pt>
                <c:pt idx="1">
                  <c:v>1.9801980198019802E-2</c:v>
                </c:pt>
                <c:pt idx="2">
                  <c:v>3.9603960396039604E-2</c:v>
                </c:pt>
                <c:pt idx="3">
                  <c:v>5.9405940594059403E-2</c:v>
                </c:pt>
                <c:pt idx="4">
                  <c:v>7.9207920792079209E-2</c:v>
                </c:pt>
                <c:pt idx="5">
                  <c:v>9.9009900990099015E-2</c:v>
                </c:pt>
                <c:pt idx="6">
                  <c:v>0.11881188118811882</c:v>
                </c:pt>
                <c:pt idx="7">
                  <c:v>0.13861386138613863</c:v>
                </c:pt>
                <c:pt idx="8">
                  <c:v>0.15841584158415842</c:v>
                </c:pt>
                <c:pt idx="9">
                  <c:v>0.17821782178217821</c:v>
                </c:pt>
                <c:pt idx="10">
                  <c:v>0.198019801980198</c:v>
                </c:pt>
                <c:pt idx="11">
                  <c:v>0.21782178217821779</c:v>
                </c:pt>
                <c:pt idx="12">
                  <c:v>0.23762376237623759</c:v>
                </c:pt>
                <c:pt idx="13">
                  <c:v>0.25742574257425738</c:v>
                </c:pt>
                <c:pt idx="14">
                  <c:v>0.2772277227722772</c:v>
                </c:pt>
                <c:pt idx="15">
                  <c:v>0.29702970297029702</c:v>
                </c:pt>
                <c:pt idx="16">
                  <c:v>0.31683168316831684</c:v>
                </c:pt>
                <c:pt idx="17">
                  <c:v>0.33663366336633666</c:v>
                </c:pt>
                <c:pt idx="18">
                  <c:v>0.35643564356435647</c:v>
                </c:pt>
                <c:pt idx="19">
                  <c:v>0.37623762376237629</c:v>
                </c:pt>
                <c:pt idx="20">
                  <c:v>0.39603960396039611</c:v>
                </c:pt>
                <c:pt idx="21">
                  <c:v>0.41584158415841593</c:v>
                </c:pt>
                <c:pt idx="22">
                  <c:v>0.43564356435643575</c:v>
                </c:pt>
                <c:pt idx="23">
                  <c:v>0.45544554455445557</c:v>
                </c:pt>
                <c:pt idx="24">
                  <c:v>0.47524752475247539</c:v>
                </c:pt>
                <c:pt idx="25">
                  <c:v>0.49504950495049521</c:v>
                </c:pt>
                <c:pt idx="26">
                  <c:v>0.51485148514851498</c:v>
                </c:pt>
                <c:pt idx="27">
                  <c:v>0.5346534653465348</c:v>
                </c:pt>
                <c:pt idx="28">
                  <c:v>0.55445544554455461</c:v>
                </c:pt>
                <c:pt idx="29">
                  <c:v>0.57425742574257443</c:v>
                </c:pt>
                <c:pt idx="30">
                  <c:v>0.59405940594059425</c:v>
                </c:pt>
                <c:pt idx="31">
                  <c:v>0.61386138613861407</c:v>
                </c:pt>
                <c:pt idx="32">
                  <c:v>0.63366336633663389</c:v>
                </c:pt>
                <c:pt idx="33">
                  <c:v>0.65346534653465371</c:v>
                </c:pt>
                <c:pt idx="34">
                  <c:v>0.67326732673267353</c:v>
                </c:pt>
                <c:pt idx="35">
                  <c:v>0.69306930693069335</c:v>
                </c:pt>
                <c:pt idx="36">
                  <c:v>0.71287128712871317</c:v>
                </c:pt>
                <c:pt idx="37">
                  <c:v>0.73267326732673299</c:v>
                </c:pt>
                <c:pt idx="38">
                  <c:v>0.75247524752475281</c:v>
                </c:pt>
                <c:pt idx="39">
                  <c:v>0.77227722772277263</c:v>
                </c:pt>
                <c:pt idx="40">
                  <c:v>0.79207920792079245</c:v>
                </c:pt>
                <c:pt idx="41">
                  <c:v>0.81188118811881227</c:v>
                </c:pt>
                <c:pt idx="42">
                  <c:v>0.83168316831683209</c:v>
                </c:pt>
                <c:pt idx="43">
                  <c:v>0.85148514851485191</c:v>
                </c:pt>
                <c:pt idx="44">
                  <c:v>0.87128712871287173</c:v>
                </c:pt>
                <c:pt idx="45">
                  <c:v>0.89108910891089155</c:v>
                </c:pt>
                <c:pt idx="46">
                  <c:v>0.91089108910891137</c:v>
                </c:pt>
                <c:pt idx="47">
                  <c:v>0.93069306930693119</c:v>
                </c:pt>
                <c:pt idx="48">
                  <c:v>0.95049504950495101</c:v>
                </c:pt>
                <c:pt idx="49">
                  <c:v>0.97029702970297083</c:v>
                </c:pt>
                <c:pt idx="50">
                  <c:v>0.99009900990099065</c:v>
                </c:pt>
                <c:pt idx="51">
                  <c:v>1.0099009900990104</c:v>
                </c:pt>
                <c:pt idx="52">
                  <c:v>1.0297029702970302</c:v>
                </c:pt>
                <c:pt idx="53">
                  <c:v>1.04950495049505</c:v>
                </c:pt>
                <c:pt idx="54">
                  <c:v>1.0693069306930698</c:v>
                </c:pt>
                <c:pt idx="55">
                  <c:v>1.0891089108910896</c:v>
                </c:pt>
                <c:pt idx="56">
                  <c:v>1.1089108910891095</c:v>
                </c:pt>
                <c:pt idx="57">
                  <c:v>1.1287128712871293</c:v>
                </c:pt>
                <c:pt idx="58">
                  <c:v>1.1485148514851491</c:v>
                </c:pt>
                <c:pt idx="59">
                  <c:v>1.1683168316831689</c:v>
                </c:pt>
                <c:pt idx="60">
                  <c:v>1.1881188118811887</c:v>
                </c:pt>
                <c:pt idx="61">
                  <c:v>1.2079207920792085</c:v>
                </c:pt>
                <c:pt idx="62">
                  <c:v>1.2277227722772284</c:v>
                </c:pt>
                <c:pt idx="63">
                  <c:v>1.2475247524752482</c:v>
                </c:pt>
                <c:pt idx="64">
                  <c:v>1.267326732673268</c:v>
                </c:pt>
                <c:pt idx="65">
                  <c:v>1.2871287128712878</c:v>
                </c:pt>
                <c:pt idx="66">
                  <c:v>1.3069306930693076</c:v>
                </c:pt>
                <c:pt idx="67">
                  <c:v>1.3267326732673275</c:v>
                </c:pt>
                <c:pt idx="68">
                  <c:v>1.3465346534653473</c:v>
                </c:pt>
                <c:pt idx="69">
                  <c:v>1.3663366336633671</c:v>
                </c:pt>
                <c:pt idx="70">
                  <c:v>1.3861386138613869</c:v>
                </c:pt>
                <c:pt idx="71">
                  <c:v>1.4059405940594067</c:v>
                </c:pt>
                <c:pt idx="72">
                  <c:v>1.4257425742574266</c:v>
                </c:pt>
                <c:pt idx="73">
                  <c:v>1.4455445544554464</c:v>
                </c:pt>
                <c:pt idx="74">
                  <c:v>1.4653465346534662</c:v>
                </c:pt>
                <c:pt idx="75">
                  <c:v>1.485148514851486</c:v>
                </c:pt>
                <c:pt idx="76">
                  <c:v>1.5049504950495058</c:v>
                </c:pt>
                <c:pt idx="77">
                  <c:v>1.5247524752475257</c:v>
                </c:pt>
                <c:pt idx="78">
                  <c:v>1.5445544554455455</c:v>
                </c:pt>
                <c:pt idx="79">
                  <c:v>1.5643564356435653</c:v>
                </c:pt>
                <c:pt idx="80">
                  <c:v>1.5841584158415851</c:v>
                </c:pt>
                <c:pt idx="81">
                  <c:v>1.6039603960396049</c:v>
                </c:pt>
                <c:pt idx="82">
                  <c:v>1.6237623762376248</c:v>
                </c:pt>
                <c:pt idx="83">
                  <c:v>1.6435643564356446</c:v>
                </c:pt>
                <c:pt idx="84">
                  <c:v>1.6633663366336644</c:v>
                </c:pt>
                <c:pt idx="85">
                  <c:v>1.6831683168316842</c:v>
                </c:pt>
                <c:pt idx="86">
                  <c:v>1.702970297029704</c:v>
                </c:pt>
                <c:pt idx="87">
                  <c:v>1.7227722772277239</c:v>
                </c:pt>
                <c:pt idx="88">
                  <c:v>1.7425742574257437</c:v>
                </c:pt>
                <c:pt idx="89">
                  <c:v>1.7623762376237635</c:v>
                </c:pt>
                <c:pt idx="90">
                  <c:v>1.7821782178217833</c:v>
                </c:pt>
                <c:pt idx="91">
                  <c:v>1.8019801980198031</c:v>
                </c:pt>
                <c:pt idx="92">
                  <c:v>1.821782178217823</c:v>
                </c:pt>
                <c:pt idx="93">
                  <c:v>1.8415841584158428</c:v>
                </c:pt>
                <c:pt idx="94">
                  <c:v>1.8613861386138626</c:v>
                </c:pt>
                <c:pt idx="95">
                  <c:v>1.8811881188118824</c:v>
                </c:pt>
                <c:pt idx="96">
                  <c:v>1.9009900990099022</c:v>
                </c:pt>
                <c:pt idx="97">
                  <c:v>1.9207920792079221</c:v>
                </c:pt>
                <c:pt idx="98">
                  <c:v>1.9405940594059419</c:v>
                </c:pt>
                <c:pt idx="99">
                  <c:v>1.9603960396039617</c:v>
                </c:pt>
                <c:pt idx="100">
                  <c:v>1.9801980198019815</c:v>
                </c:pt>
                <c:pt idx="101">
                  <c:v>2.0000000000000013</c:v>
                </c:pt>
                <c:pt idx="102">
                  <c:v>2.0198019801980212</c:v>
                </c:pt>
                <c:pt idx="103">
                  <c:v>2.039603960396041</c:v>
                </c:pt>
                <c:pt idx="104">
                  <c:v>2.0594059405940608</c:v>
                </c:pt>
                <c:pt idx="105">
                  <c:v>2.0792079207920806</c:v>
                </c:pt>
                <c:pt idx="106">
                  <c:v>2.0990099009901004</c:v>
                </c:pt>
                <c:pt idx="107">
                  <c:v>2.1188118811881202</c:v>
                </c:pt>
                <c:pt idx="108">
                  <c:v>2.1386138613861401</c:v>
                </c:pt>
                <c:pt idx="109">
                  <c:v>2.1584158415841599</c:v>
                </c:pt>
                <c:pt idx="110">
                  <c:v>2.1782178217821797</c:v>
                </c:pt>
                <c:pt idx="111">
                  <c:v>2.1980198019801995</c:v>
                </c:pt>
                <c:pt idx="112">
                  <c:v>2.2178217821782193</c:v>
                </c:pt>
                <c:pt idx="113">
                  <c:v>2.2376237623762392</c:v>
                </c:pt>
                <c:pt idx="114">
                  <c:v>2.257425742574259</c:v>
                </c:pt>
                <c:pt idx="115">
                  <c:v>2.2772277227722788</c:v>
                </c:pt>
                <c:pt idx="116">
                  <c:v>2.2970297029702986</c:v>
                </c:pt>
                <c:pt idx="117">
                  <c:v>2.3168316831683184</c:v>
                </c:pt>
                <c:pt idx="118">
                  <c:v>2.3366336633663383</c:v>
                </c:pt>
                <c:pt idx="119">
                  <c:v>2.3564356435643581</c:v>
                </c:pt>
                <c:pt idx="120">
                  <c:v>2.3762376237623779</c:v>
                </c:pt>
                <c:pt idx="121">
                  <c:v>2.3960396039603977</c:v>
                </c:pt>
                <c:pt idx="122">
                  <c:v>2.4158415841584175</c:v>
                </c:pt>
                <c:pt idx="123">
                  <c:v>2.4356435643564374</c:v>
                </c:pt>
                <c:pt idx="124">
                  <c:v>2.4554455445544572</c:v>
                </c:pt>
                <c:pt idx="125">
                  <c:v>2.475247524752477</c:v>
                </c:pt>
                <c:pt idx="126">
                  <c:v>2.4950495049504968</c:v>
                </c:pt>
                <c:pt idx="127">
                  <c:v>2.5148514851485166</c:v>
                </c:pt>
                <c:pt idx="128">
                  <c:v>2.5346534653465365</c:v>
                </c:pt>
                <c:pt idx="129">
                  <c:v>2.5544554455445563</c:v>
                </c:pt>
                <c:pt idx="130">
                  <c:v>2.5742574257425761</c:v>
                </c:pt>
                <c:pt idx="131">
                  <c:v>2.5940594059405959</c:v>
                </c:pt>
                <c:pt idx="132">
                  <c:v>2.6138613861386157</c:v>
                </c:pt>
                <c:pt idx="133">
                  <c:v>2.6336633663366356</c:v>
                </c:pt>
                <c:pt idx="134">
                  <c:v>2.6534653465346554</c:v>
                </c:pt>
                <c:pt idx="135">
                  <c:v>2.6732673267326752</c:v>
                </c:pt>
                <c:pt idx="136">
                  <c:v>2.693069306930695</c:v>
                </c:pt>
                <c:pt idx="137">
                  <c:v>2.7128712871287148</c:v>
                </c:pt>
                <c:pt idx="138">
                  <c:v>2.7326732673267347</c:v>
                </c:pt>
                <c:pt idx="139">
                  <c:v>2.7524752475247545</c:v>
                </c:pt>
                <c:pt idx="140">
                  <c:v>2.7722772277227743</c:v>
                </c:pt>
                <c:pt idx="141">
                  <c:v>2.7920792079207941</c:v>
                </c:pt>
                <c:pt idx="142">
                  <c:v>2.8118811881188139</c:v>
                </c:pt>
                <c:pt idx="143">
                  <c:v>2.8316831683168338</c:v>
                </c:pt>
                <c:pt idx="144">
                  <c:v>2.8514851485148536</c:v>
                </c:pt>
                <c:pt idx="145">
                  <c:v>2.8712871287128734</c:v>
                </c:pt>
                <c:pt idx="146">
                  <c:v>2.8910891089108932</c:v>
                </c:pt>
                <c:pt idx="147">
                  <c:v>2.910891089108913</c:v>
                </c:pt>
                <c:pt idx="148">
                  <c:v>2.9306930693069329</c:v>
                </c:pt>
                <c:pt idx="149">
                  <c:v>2.9504950495049527</c:v>
                </c:pt>
                <c:pt idx="150">
                  <c:v>2.9702970297029725</c:v>
                </c:pt>
                <c:pt idx="151">
                  <c:v>2.9900990099009923</c:v>
                </c:pt>
                <c:pt idx="152">
                  <c:v>3.0099009900990121</c:v>
                </c:pt>
                <c:pt idx="153">
                  <c:v>3.0297029702970319</c:v>
                </c:pt>
                <c:pt idx="154">
                  <c:v>3.0495049504950518</c:v>
                </c:pt>
                <c:pt idx="155">
                  <c:v>3.0693069306930716</c:v>
                </c:pt>
                <c:pt idx="156">
                  <c:v>3.0891089108910914</c:v>
                </c:pt>
                <c:pt idx="157">
                  <c:v>3.1089108910891112</c:v>
                </c:pt>
                <c:pt idx="158">
                  <c:v>3.128712871287131</c:v>
                </c:pt>
                <c:pt idx="159">
                  <c:v>3.1485148514851509</c:v>
                </c:pt>
                <c:pt idx="160">
                  <c:v>3.1683168316831707</c:v>
                </c:pt>
                <c:pt idx="161">
                  <c:v>3.1881188118811905</c:v>
                </c:pt>
                <c:pt idx="162">
                  <c:v>3.2079207920792103</c:v>
                </c:pt>
                <c:pt idx="163">
                  <c:v>3.2277227722772301</c:v>
                </c:pt>
                <c:pt idx="164">
                  <c:v>3.24752475247525</c:v>
                </c:pt>
                <c:pt idx="165">
                  <c:v>3.2673267326732698</c:v>
                </c:pt>
                <c:pt idx="166">
                  <c:v>3.2871287128712896</c:v>
                </c:pt>
                <c:pt idx="167">
                  <c:v>3.3069306930693094</c:v>
                </c:pt>
                <c:pt idx="168">
                  <c:v>3.3267326732673292</c:v>
                </c:pt>
                <c:pt idx="169">
                  <c:v>3.3465346534653491</c:v>
                </c:pt>
                <c:pt idx="170">
                  <c:v>3.3663366336633689</c:v>
                </c:pt>
                <c:pt idx="171">
                  <c:v>3.3861386138613887</c:v>
                </c:pt>
                <c:pt idx="172">
                  <c:v>3.4059405940594085</c:v>
                </c:pt>
                <c:pt idx="173">
                  <c:v>3.4257425742574283</c:v>
                </c:pt>
                <c:pt idx="174">
                  <c:v>3.4455445544554482</c:v>
                </c:pt>
                <c:pt idx="175">
                  <c:v>3.465346534653468</c:v>
                </c:pt>
                <c:pt idx="176">
                  <c:v>3.4851485148514878</c:v>
                </c:pt>
                <c:pt idx="177">
                  <c:v>3.5049504950495076</c:v>
                </c:pt>
                <c:pt idx="178">
                  <c:v>3.5247524752475274</c:v>
                </c:pt>
                <c:pt idx="179">
                  <c:v>3.5445544554455473</c:v>
                </c:pt>
                <c:pt idx="180">
                  <c:v>3.5643564356435671</c:v>
                </c:pt>
                <c:pt idx="181">
                  <c:v>3.5841584158415869</c:v>
                </c:pt>
                <c:pt idx="182">
                  <c:v>3.6039603960396067</c:v>
                </c:pt>
                <c:pt idx="183">
                  <c:v>3.6237623762376265</c:v>
                </c:pt>
                <c:pt idx="184">
                  <c:v>3.6435643564356464</c:v>
                </c:pt>
                <c:pt idx="185">
                  <c:v>3.6633663366336662</c:v>
                </c:pt>
                <c:pt idx="186">
                  <c:v>3.683168316831686</c:v>
                </c:pt>
                <c:pt idx="187">
                  <c:v>3.7029702970297058</c:v>
                </c:pt>
                <c:pt idx="188">
                  <c:v>3.7227722772277256</c:v>
                </c:pt>
                <c:pt idx="189">
                  <c:v>3.7425742574257455</c:v>
                </c:pt>
                <c:pt idx="190">
                  <c:v>3.7623762376237653</c:v>
                </c:pt>
                <c:pt idx="191">
                  <c:v>3.7821782178217851</c:v>
                </c:pt>
                <c:pt idx="192">
                  <c:v>3.8019801980198049</c:v>
                </c:pt>
                <c:pt idx="193">
                  <c:v>3.8217821782178247</c:v>
                </c:pt>
                <c:pt idx="194">
                  <c:v>3.8415841584158446</c:v>
                </c:pt>
                <c:pt idx="195">
                  <c:v>3.8613861386138644</c:v>
                </c:pt>
                <c:pt idx="196">
                  <c:v>3.8811881188118842</c:v>
                </c:pt>
                <c:pt idx="197">
                  <c:v>3.900990099009904</c:v>
                </c:pt>
                <c:pt idx="198">
                  <c:v>3.9207920792079238</c:v>
                </c:pt>
                <c:pt idx="199">
                  <c:v>3.9405940594059436</c:v>
                </c:pt>
                <c:pt idx="200">
                  <c:v>3.9603960396039635</c:v>
                </c:pt>
                <c:pt idx="201">
                  <c:v>3.9801980198019833</c:v>
                </c:pt>
                <c:pt idx="202">
                  <c:v>4.0000000000000027</c:v>
                </c:pt>
                <c:pt idx="203">
                  <c:v>4.0198019801980225</c:v>
                </c:pt>
                <c:pt idx="204">
                  <c:v>4.0396039603960423</c:v>
                </c:pt>
                <c:pt idx="205">
                  <c:v>4.0594059405940621</c:v>
                </c:pt>
                <c:pt idx="206">
                  <c:v>4.0792079207920819</c:v>
                </c:pt>
                <c:pt idx="207">
                  <c:v>4.0990099009901018</c:v>
                </c:pt>
                <c:pt idx="208">
                  <c:v>4.1188118811881216</c:v>
                </c:pt>
                <c:pt idx="209">
                  <c:v>4.1386138613861414</c:v>
                </c:pt>
                <c:pt idx="210">
                  <c:v>4.1584158415841612</c:v>
                </c:pt>
                <c:pt idx="211">
                  <c:v>4.178217821782181</c:v>
                </c:pt>
                <c:pt idx="212">
                  <c:v>4.1980198019802009</c:v>
                </c:pt>
                <c:pt idx="213">
                  <c:v>4.2178217821782207</c:v>
                </c:pt>
                <c:pt idx="214">
                  <c:v>4.2376237623762405</c:v>
                </c:pt>
              </c:numCache>
            </c:numRef>
          </c:xVal>
          <c:yVal>
            <c:numRef>
              <c:f>Buck!$D$15:$D$229</c:f>
              <c:numCache>
                <c:formatCode>General</c:formatCode>
                <c:ptCount val="215"/>
                <c:pt idx="0">
                  <c:v>1.75</c:v>
                </c:pt>
                <c:pt idx="1">
                  <c:v>1.75</c:v>
                </c:pt>
                <c:pt idx="2">
                  <c:v>1.75</c:v>
                </c:pt>
                <c:pt idx="3">
                  <c:v>1.75</c:v>
                </c:pt>
                <c:pt idx="4">
                  <c:v>1.75</c:v>
                </c:pt>
                <c:pt idx="5">
                  <c:v>1.75</c:v>
                </c:pt>
                <c:pt idx="6">
                  <c:v>1.75</c:v>
                </c:pt>
                <c:pt idx="7">
                  <c:v>1.75</c:v>
                </c:pt>
                <c:pt idx="8">
                  <c:v>1.75</c:v>
                </c:pt>
                <c:pt idx="9">
                  <c:v>1.75</c:v>
                </c:pt>
                <c:pt idx="10">
                  <c:v>1.75</c:v>
                </c:pt>
                <c:pt idx="11">
                  <c:v>1.75</c:v>
                </c:pt>
                <c:pt idx="12">
                  <c:v>1.75</c:v>
                </c:pt>
                <c:pt idx="13">
                  <c:v>1.75</c:v>
                </c:pt>
                <c:pt idx="14">
                  <c:v>1.75</c:v>
                </c:pt>
                <c:pt idx="15">
                  <c:v>1.75</c:v>
                </c:pt>
                <c:pt idx="16">
                  <c:v>1.75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1.75</c:v>
                </c:pt>
                <c:pt idx="101">
                  <c:v>1.75</c:v>
                </c:pt>
                <c:pt idx="102">
                  <c:v>1.75</c:v>
                </c:pt>
                <c:pt idx="103">
                  <c:v>1.75</c:v>
                </c:pt>
                <c:pt idx="104">
                  <c:v>1.75</c:v>
                </c:pt>
                <c:pt idx="105">
                  <c:v>1.75</c:v>
                </c:pt>
                <c:pt idx="106">
                  <c:v>1.75</c:v>
                </c:pt>
                <c:pt idx="107">
                  <c:v>1.75</c:v>
                </c:pt>
                <c:pt idx="108">
                  <c:v>1.75</c:v>
                </c:pt>
                <c:pt idx="109">
                  <c:v>1.75</c:v>
                </c:pt>
                <c:pt idx="110">
                  <c:v>1.75</c:v>
                </c:pt>
                <c:pt idx="111">
                  <c:v>1.75</c:v>
                </c:pt>
                <c:pt idx="112">
                  <c:v>1.75</c:v>
                </c:pt>
                <c:pt idx="113">
                  <c:v>1.75</c:v>
                </c:pt>
                <c:pt idx="114">
                  <c:v>1.75</c:v>
                </c:pt>
                <c:pt idx="115">
                  <c:v>1.75</c:v>
                </c:pt>
                <c:pt idx="116">
                  <c:v>1.75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1.75</c:v>
                </c:pt>
                <c:pt idx="201">
                  <c:v>1.75</c:v>
                </c:pt>
                <c:pt idx="202">
                  <c:v>1.75</c:v>
                </c:pt>
                <c:pt idx="203">
                  <c:v>1.75</c:v>
                </c:pt>
                <c:pt idx="204">
                  <c:v>1.75</c:v>
                </c:pt>
                <c:pt idx="205">
                  <c:v>1.75</c:v>
                </c:pt>
                <c:pt idx="206">
                  <c:v>1.75</c:v>
                </c:pt>
                <c:pt idx="207">
                  <c:v>1.75</c:v>
                </c:pt>
                <c:pt idx="208">
                  <c:v>1.75</c:v>
                </c:pt>
                <c:pt idx="209">
                  <c:v>1.75</c:v>
                </c:pt>
                <c:pt idx="210">
                  <c:v>1.75</c:v>
                </c:pt>
                <c:pt idx="211">
                  <c:v>1.75</c:v>
                </c:pt>
                <c:pt idx="212">
                  <c:v>1.75</c:v>
                </c:pt>
                <c:pt idx="213">
                  <c:v>1.75</c:v>
                </c:pt>
                <c:pt idx="214">
                  <c:v>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64-4C57-87C4-12C5C8FAD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694223"/>
        <c:axId val="1117678207"/>
      </c:scatterChart>
      <c:valAx>
        <c:axId val="134869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7678207"/>
        <c:crosses val="autoZero"/>
        <c:crossBetween val="midCat"/>
      </c:valAx>
      <c:valAx>
        <c:axId val="111767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Current</a:t>
                </a:r>
                <a:r>
                  <a:rPr lang="fr-FR" baseline="0"/>
                  <a:t> (A)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8694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Inductor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Boost!$C$13</c:f>
              <c:strCache>
                <c:ptCount val="1"/>
                <c:pt idx="0">
                  <c:v>iL(t)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Boost!$A$14:$A$228</c:f>
              <c:numCache>
                <c:formatCode>General</c:formatCode>
                <c:ptCount val="21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</c:numCache>
            </c:numRef>
          </c:xVal>
          <c:yVal>
            <c:numRef>
              <c:f>Boost!$C$14:$C$228</c:f>
              <c:numCache>
                <c:formatCode>General</c:formatCode>
                <c:ptCount val="215"/>
                <c:pt idx="0">
                  <c:v>1.7019230769230769</c:v>
                </c:pt>
                <c:pt idx="1">
                  <c:v>1.7519230769230769</c:v>
                </c:pt>
                <c:pt idx="2">
                  <c:v>1.801923076923077</c:v>
                </c:pt>
                <c:pt idx="3">
                  <c:v>1.851923076923077</c:v>
                </c:pt>
                <c:pt idx="4">
                  <c:v>1.9019230769230768</c:v>
                </c:pt>
                <c:pt idx="5">
                  <c:v>1.9519230769230769</c:v>
                </c:pt>
                <c:pt idx="6">
                  <c:v>2.0019230769230769</c:v>
                </c:pt>
                <c:pt idx="7">
                  <c:v>2.0519230769230767</c:v>
                </c:pt>
                <c:pt idx="8">
                  <c:v>2.101923076923077</c:v>
                </c:pt>
                <c:pt idx="9">
                  <c:v>2.1519230769230768</c:v>
                </c:pt>
                <c:pt idx="10">
                  <c:v>2.2019230769230766</c:v>
                </c:pt>
                <c:pt idx="11">
                  <c:v>2.2519230769230769</c:v>
                </c:pt>
                <c:pt idx="12">
                  <c:v>2.3019230769230767</c:v>
                </c:pt>
                <c:pt idx="13">
                  <c:v>2.351923076923077</c:v>
                </c:pt>
                <c:pt idx="14">
                  <c:v>2.4019230769230768</c:v>
                </c:pt>
                <c:pt idx="15">
                  <c:v>2.4519230769230771</c:v>
                </c:pt>
                <c:pt idx="16">
                  <c:v>2.5019230769230769</c:v>
                </c:pt>
                <c:pt idx="17">
                  <c:v>2.5519230769230772</c:v>
                </c:pt>
                <c:pt idx="18">
                  <c:v>2.601923076923077</c:v>
                </c:pt>
                <c:pt idx="19">
                  <c:v>2.6519230769230773</c:v>
                </c:pt>
                <c:pt idx="20">
                  <c:v>2.7019230769230771</c:v>
                </c:pt>
                <c:pt idx="21">
                  <c:v>2.7519230769230774</c:v>
                </c:pt>
                <c:pt idx="22">
                  <c:v>2.8019230769230772</c:v>
                </c:pt>
                <c:pt idx="23">
                  <c:v>2.851923076923077</c:v>
                </c:pt>
                <c:pt idx="24">
                  <c:v>2.9019230769230773</c:v>
                </c:pt>
                <c:pt idx="25">
                  <c:v>2.9519230769230775</c:v>
                </c:pt>
                <c:pt idx="26">
                  <c:v>3.0019230769230774</c:v>
                </c:pt>
                <c:pt idx="27">
                  <c:v>3.0519230769230772</c:v>
                </c:pt>
                <c:pt idx="28">
                  <c:v>3.1019230769230774</c:v>
                </c:pt>
                <c:pt idx="29">
                  <c:v>3.1519230769230777</c:v>
                </c:pt>
                <c:pt idx="30">
                  <c:v>3.2019230769230775</c:v>
                </c:pt>
                <c:pt idx="31">
                  <c:v>3.2519230769230774</c:v>
                </c:pt>
                <c:pt idx="32">
                  <c:v>3.3019230769230776</c:v>
                </c:pt>
                <c:pt idx="33">
                  <c:v>3.3519230769230779</c:v>
                </c:pt>
                <c:pt idx="34">
                  <c:v>3.4019230769230777</c:v>
                </c:pt>
                <c:pt idx="35">
                  <c:v>3.4519230769230775</c:v>
                </c:pt>
                <c:pt idx="36">
                  <c:v>3.5019230769230778</c:v>
                </c:pt>
                <c:pt idx="37">
                  <c:v>3.5519230769230781</c:v>
                </c:pt>
                <c:pt idx="38">
                  <c:v>3.6019230769230779</c:v>
                </c:pt>
                <c:pt idx="39">
                  <c:v>3.6519230769230777</c:v>
                </c:pt>
                <c:pt idx="40">
                  <c:v>3.7019230769230775</c:v>
                </c:pt>
                <c:pt idx="41">
                  <c:v>3.7519230769230774</c:v>
                </c:pt>
                <c:pt idx="42">
                  <c:v>3.8019230769230772</c:v>
                </c:pt>
                <c:pt idx="43">
                  <c:v>3.851923076923077</c:v>
                </c:pt>
                <c:pt idx="44">
                  <c:v>3.9019230769230768</c:v>
                </c:pt>
                <c:pt idx="45">
                  <c:v>3.9519230769230766</c:v>
                </c:pt>
                <c:pt idx="46">
                  <c:v>4.0019230769230765</c:v>
                </c:pt>
                <c:pt idx="47">
                  <c:v>4.0519230769230763</c:v>
                </c:pt>
                <c:pt idx="48">
                  <c:v>4.1019230769230761</c:v>
                </c:pt>
                <c:pt idx="49">
                  <c:v>4.1519230769230759</c:v>
                </c:pt>
                <c:pt idx="50">
                  <c:v>4.2019230769230758</c:v>
                </c:pt>
                <c:pt idx="51">
                  <c:v>4.2480769230769244</c:v>
                </c:pt>
                <c:pt idx="52">
                  <c:v>4.1980769230769246</c:v>
                </c:pt>
                <c:pt idx="53">
                  <c:v>4.1480769230769248</c:v>
                </c:pt>
                <c:pt idx="54">
                  <c:v>4.0980769230769249</c:v>
                </c:pt>
                <c:pt idx="55">
                  <c:v>4.0480769230769251</c:v>
                </c:pt>
                <c:pt idx="56">
                  <c:v>3.9980769230769253</c:v>
                </c:pt>
                <c:pt idx="57">
                  <c:v>3.9480769230769255</c:v>
                </c:pt>
                <c:pt idx="58">
                  <c:v>3.8980769230769257</c:v>
                </c:pt>
                <c:pt idx="59">
                  <c:v>3.8480769230769258</c:v>
                </c:pt>
                <c:pt idx="60">
                  <c:v>3.798076923076926</c:v>
                </c:pt>
                <c:pt idx="61">
                  <c:v>3.7480769230769262</c:v>
                </c:pt>
                <c:pt idx="62">
                  <c:v>3.6980769230769264</c:v>
                </c:pt>
                <c:pt idx="63">
                  <c:v>3.6480769230769265</c:v>
                </c:pt>
                <c:pt idx="64">
                  <c:v>3.5980769230769267</c:v>
                </c:pt>
                <c:pt idx="65">
                  <c:v>3.5480769230769269</c:v>
                </c:pt>
                <c:pt idx="66">
                  <c:v>3.4980769230769271</c:v>
                </c:pt>
                <c:pt idx="67">
                  <c:v>3.4480769230769273</c:v>
                </c:pt>
                <c:pt idx="68">
                  <c:v>3.3980769230769274</c:v>
                </c:pt>
                <c:pt idx="69">
                  <c:v>3.3480769230769276</c:v>
                </c:pt>
                <c:pt idx="70">
                  <c:v>3.2980769230769278</c:v>
                </c:pt>
                <c:pt idx="71">
                  <c:v>3.248076923076928</c:v>
                </c:pt>
                <c:pt idx="72">
                  <c:v>3.1980769230769281</c:v>
                </c:pt>
                <c:pt idx="73">
                  <c:v>3.1480769230769283</c:v>
                </c:pt>
                <c:pt idx="74">
                  <c:v>3.0980769230769285</c:v>
                </c:pt>
                <c:pt idx="75">
                  <c:v>3.0480769230769287</c:v>
                </c:pt>
                <c:pt idx="76">
                  <c:v>2.9980769230769289</c:v>
                </c:pt>
                <c:pt idx="77">
                  <c:v>2.948076923076929</c:v>
                </c:pt>
                <c:pt idx="78">
                  <c:v>2.8980769230769292</c:v>
                </c:pt>
                <c:pt idx="79">
                  <c:v>2.8480769230769294</c:v>
                </c:pt>
                <c:pt idx="80">
                  <c:v>2.7980769230769296</c:v>
                </c:pt>
                <c:pt idx="81">
                  <c:v>2.7480769230769297</c:v>
                </c:pt>
                <c:pt idx="82">
                  <c:v>2.6980769230769299</c:v>
                </c:pt>
                <c:pt idx="83">
                  <c:v>2.6480769230769301</c:v>
                </c:pt>
                <c:pt idx="84">
                  <c:v>2.5980769230769303</c:v>
                </c:pt>
                <c:pt idx="85">
                  <c:v>2.5480769230769305</c:v>
                </c:pt>
                <c:pt idx="86">
                  <c:v>2.4980769230769306</c:v>
                </c:pt>
                <c:pt idx="87">
                  <c:v>2.4480769230769308</c:v>
                </c:pt>
                <c:pt idx="88">
                  <c:v>2.398076923076931</c:v>
                </c:pt>
                <c:pt idx="89">
                  <c:v>2.3480769230769312</c:v>
                </c:pt>
                <c:pt idx="90">
                  <c:v>2.2980769230769313</c:v>
                </c:pt>
                <c:pt idx="91">
                  <c:v>2.2480769230769315</c:v>
                </c:pt>
                <c:pt idx="92">
                  <c:v>2.1980769230769317</c:v>
                </c:pt>
                <c:pt idx="93">
                  <c:v>2.1480769230769319</c:v>
                </c:pt>
                <c:pt idx="94">
                  <c:v>2.0980769230769321</c:v>
                </c:pt>
                <c:pt idx="95">
                  <c:v>2.0480769230769322</c:v>
                </c:pt>
                <c:pt idx="96">
                  <c:v>1.9980769230769324</c:v>
                </c:pt>
                <c:pt idx="97">
                  <c:v>1.9480769230769326</c:v>
                </c:pt>
                <c:pt idx="98">
                  <c:v>1.8980769230769328</c:v>
                </c:pt>
                <c:pt idx="99">
                  <c:v>1.8480769230769329</c:v>
                </c:pt>
                <c:pt idx="100">
                  <c:v>1.7980769230769331</c:v>
                </c:pt>
                <c:pt idx="101">
                  <c:v>1.7519230769230669</c:v>
                </c:pt>
                <c:pt idx="102">
                  <c:v>1.8019230769230667</c:v>
                </c:pt>
                <c:pt idx="103">
                  <c:v>1.8519230769230666</c:v>
                </c:pt>
                <c:pt idx="104">
                  <c:v>1.9019230769230664</c:v>
                </c:pt>
                <c:pt idx="105">
                  <c:v>1.9519230769230662</c:v>
                </c:pt>
                <c:pt idx="106">
                  <c:v>2.0019230769230658</c:v>
                </c:pt>
                <c:pt idx="107">
                  <c:v>2.0519230769230656</c:v>
                </c:pt>
                <c:pt idx="108">
                  <c:v>2.1019230769230655</c:v>
                </c:pt>
                <c:pt idx="109">
                  <c:v>2.1519230769230653</c:v>
                </c:pt>
                <c:pt idx="110">
                  <c:v>2.2019230769230651</c:v>
                </c:pt>
                <c:pt idx="111">
                  <c:v>2.2519230769230649</c:v>
                </c:pt>
                <c:pt idx="112">
                  <c:v>2.3019230769230647</c:v>
                </c:pt>
                <c:pt idx="113">
                  <c:v>2.3519230769230646</c:v>
                </c:pt>
                <c:pt idx="114">
                  <c:v>2.4019230769230644</c:v>
                </c:pt>
                <c:pt idx="115">
                  <c:v>2.4519230769230642</c:v>
                </c:pt>
                <c:pt idx="116">
                  <c:v>2.501923076923064</c:v>
                </c:pt>
                <c:pt idx="117">
                  <c:v>2.5519230769230639</c:v>
                </c:pt>
                <c:pt idx="118">
                  <c:v>2.6019230769230637</c:v>
                </c:pt>
                <c:pt idx="119">
                  <c:v>2.6519230769230635</c:v>
                </c:pt>
                <c:pt idx="120">
                  <c:v>2.7019230769230633</c:v>
                </c:pt>
                <c:pt idx="121">
                  <c:v>2.7519230769230631</c:v>
                </c:pt>
                <c:pt idx="122">
                  <c:v>2.801923076923063</c:v>
                </c:pt>
                <c:pt idx="123">
                  <c:v>2.8519230769230628</c:v>
                </c:pt>
                <c:pt idx="124">
                  <c:v>2.9019230769230626</c:v>
                </c:pt>
                <c:pt idx="125">
                  <c:v>2.9519230769230624</c:v>
                </c:pt>
                <c:pt idx="126">
                  <c:v>3.0019230769230623</c:v>
                </c:pt>
                <c:pt idx="127">
                  <c:v>3.0519230769230621</c:v>
                </c:pt>
                <c:pt idx="128">
                  <c:v>3.1019230769230619</c:v>
                </c:pt>
                <c:pt idx="129">
                  <c:v>3.1519230769230617</c:v>
                </c:pt>
                <c:pt idx="130">
                  <c:v>3.2019230769230616</c:v>
                </c:pt>
                <c:pt idx="131">
                  <c:v>3.2519230769230614</c:v>
                </c:pt>
                <c:pt idx="132">
                  <c:v>3.3019230769230612</c:v>
                </c:pt>
                <c:pt idx="133">
                  <c:v>3.351923076923061</c:v>
                </c:pt>
                <c:pt idx="134">
                  <c:v>3.4019230769230608</c:v>
                </c:pt>
                <c:pt idx="135">
                  <c:v>3.4519230769230607</c:v>
                </c:pt>
                <c:pt idx="136">
                  <c:v>3.5019230769230605</c:v>
                </c:pt>
                <c:pt idx="137">
                  <c:v>3.5519230769230603</c:v>
                </c:pt>
                <c:pt idx="138">
                  <c:v>3.6019230769230601</c:v>
                </c:pt>
                <c:pt idx="139">
                  <c:v>3.65192307692306</c:v>
                </c:pt>
                <c:pt idx="140">
                  <c:v>3.7019230769230598</c:v>
                </c:pt>
                <c:pt idx="141">
                  <c:v>3.7519230769230596</c:v>
                </c:pt>
                <c:pt idx="142">
                  <c:v>3.8019230769230594</c:v>
                </c:pt>
                <c:pt idx="143">
                  <c:v>3.8519230769230592</c:v>
                </c:pt>
                <c:pt idx="144">
                  <c:v>3.9019230769230591</c:v>
                </c:pt>
                <c:pt idx="145">
                  <c:v>3.9519230769230589</c:v>
                </c:pt>
                <c:pt idx="146">
                  <c:v>4.0019230769230587</c:v>
                </c:pt>
                <c:pt idx="147">
                  <c:v>4.0519230769230585</c:v>
                </c:pt>
                <c:pt idx="148">
                  <c:v>4.1019230769230584</c:v>
                </c:pt>
                <c:pt idx="149">
                  <c:v>4.1519230769230582</c:v>
                </c:pt>
                <c:pt idx="150">
                  <c:v>4.201923076923058</c:v>
                </c:pt>
                <c:pt idx="151">
                  <c:v>4.2480769230769422</c:v>
                </c:pt>
                <c:pt idx="152">
                  <c:v>4.1980769230769424</c:v>
                </c:pt>
                <c:pt idx="153">
                  <c:v>4.1480769230769425</c:v>
                </c:pt>
                <c:pt idx="154">
                  <c:v>4.0980769230769427</c:v>
                </c:pt>
                <c:pt idx="155">
                  <c:v>4.0480769230769429</c:v>
                </c:pt>
                <c:pt idx="156">
                  <c:v>3.9980769230769431</c:v>
                </c:pt>
                <c:pt idx="157">
                  <c:v>3.9480769230769432</c:v>
                </c:pt>
                <c:pt idx="158">
                  <c:v>3.8980769230769434</c:v>
                </c:pt>
                <c:pt idx="159">
                  <c:v>3.8480769230769436</c:v>
                </c:pt>
                <c:pt idx="160">
                  <c:v>3.7980769230769438</c:v>
                </c:pt>
                <c:pt idx="161">
                  <c:v>3.748076923076944</c:v>
                </c:pt>
                <c:pt idx="162">
                  <c:v>3.6980769230769432</c:v>
                </c:pt>
                <c:pt idx="163">
                  <c:v>3.6480769230769425</c:v>
                </c:pt>
                <c:pt idx="164">
                  <c:v>3.5980769230769418</c:v>
                </c:pt>
                <c:pt idx="165">
                  <c:v>3.5480769230769411</c:v>
                </c:pt>
                <c:pt idx="166">
                  <c:v>3.4980769230769404</c:v>
                </c:pt>
                <c:pt idx="167">
                  <c:v>3.4480769230769397</c:v>
                </c:pt>
                <c:pt idx="168">
                  <c:v>3.398076923076939</c:v>
                </c:pt>
                <c:pt idx="169">
                  <c:v>3.3480769230769383</c:v>
                </c:pt>
                <c:pt idx="170">
                  <c:v>3.2980769230769376</c:v>
                </c:pt>
                <c:pt idx="171">
                  <c:v>3.2480769230769369</c:v>
                </c:pt>
                <c:pt idx="172">
                  <c:v>3.1980769230769361</c:v>
                </c:pt>
                <c:pt idx="173">
                  <c:v>3.1480769230769354</c:v>
                </c:pt>
                <c:pt idx="174">
                  <c:v>3.0980769230769347</c:v>
                </c:pt>
                <c:pt idx="175">
                  <c:v>3.048076923076934</c:v>
                </c:pt>
                <c:pt idx="176">
                  <c:v>2.9980769230769333</c:v>
                </c:pt>
                <c:pt idx="177">
                  <c:v>2.9480769230769326</c:v>
                </c:pt>
                <c:pt idx="178">
                  <c:v>2.8980769230769319</c:v>
                </c:pt>
                <c:pt idx="179">
                  <c:v>2.8480769230769312</c:v>
                </c:pt>
                <c:pt idx="180">
                  <c:v>2.7980769230769305</c:v>
                </c:pt>
                <c:pt idx="181">
                  <c:v>2.7480769230769297</c:v>
                </c:pt>
                <c:pt idx="182">
                  <c:v>2.698076923076929</c:v>
                </c:pt>
                <c:pt idx="183">
                  <c:v>2.6480769230769283</c:v>
                </c:pt>
                <c:pt idx="184">
                  <c:v>2.5980769230769276</c:v>
                </c:pt>
                <c:pt idx="185">
                  <c:v>2.5480769230769269</c:v>
                </c:pt>
                <c:pt idx="186">
                  <c:v>2.4980769230769262</c:v>
                </c:pt>
                <c:pt idx="187">
                  <c:v>2.4480769230769255</c:v>
                </c:pt>
                <c:pt idx="188">
                  <c:v>2.3980769230769248</c:v>
                </c:pt>
                <c:pt idx="189">
                  <c:v>2.3480769230769241</c:v>
                </c:pt>
                <c:pt idx="190">
                  <c:v>2.2980769230769234</c:v>
                </c:pt>
                <c:pt idx="191">
                  <c:v>2.2480769230769226</c:v>
                </c:pt>
                <c:pt idx="192">
                  <c:v>2.1980769230769219</c:v>
                </c:pt>
                <c:pt idx="193">
                  <c:v>2.1480769230769212</c:v>
                </c:pt>
                <c:pt idx="194">
                  <c:v>2.0980769230769205</c:v>
                </c:pt>
                <c:pt idx="195">
                  <c:v>2.0480769230769198</c:v>
                </c:pt>
                <c:pt idx="196">
                  <c:v>1.9980769230769191</c:v>
                </c:pt>
                <c:pt idx="197">
                  <c:v>1.9480769230769184</c:v>
                </c:pt>
                <c:pt idx="198">
                  <c:v>1.8980769230769177</c:v>
                </c:pt>
                <c:pt idx="199">
                  <c:v>1.848076923076917</c:v>
                </c:pt>
                <c:pt idx="200">
                  <c:v>1.701923076923084</c:v>
                </c:pt>
                <c:pt idx="201">
                  <c:v>1.7519230769230847</c:v>
                </c:pt>
                <c:pt idx="202">
                  <c:v>1.8019230769230854</c:v>
                </c:pt>
                <c:pt idx="203">
                  <c:v>1.8519230769230861</c:v>
                </c:pt>
                <c:pt idx="204">
                  <c:v>1.9019230769230868</c:v>
                </c:pt>
                <c:pt idx="205">
                  <c:v>1.9519230769230875</c:v>
                </c:pt>
                <c:pt idx="206">
                  <c:v>2.001923076923088</c:v>
                </c:pt>
                <c:pt idx="207">
                  <c:v>2.0519230769230887</c:v>
                </c:pt>
                <c:pt idx="208">
                  <c:v>2.1019230769230894</c:v>
                </c:pt>
                <c:pt idx="209">
                  <c:v>2.1519230769230902</c:v>
                </c:pt>
                <c:pt idx="210">
                  <c:v>2.2019230769230909</c:v>
                </c:pt>
                <c:pt idx="211">
                  <c:v>2.2519230769230916</c:v>
                </c:pt>
                <c:pt idx="212">
                  <c:v>2.3019230769230923</c:v>
                </c:pt>
                <c:pt idx="213">
                  <c:v>2.351923076923093</c:v>
                </c:pt>
                <c:pt idx="214">
                  <c:v>2.4019230769230937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EA-42BB-969B-F586943014E4}"/>
            </c:ext>
          </c:extLst>
        </c:ser>
        <c:ser>
          <c:idx val="0"/>
          <c:order val="1"/>
          <c:tx>
            <c:strRef>
              <c:f>Boost!$D$14</c:f>
              <c:strCache>
                <c:ptCount val="1"/>
                <c:pt idx="0">
                  <c:v>Fsw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Boost!$A$14:$A$228</c:f>
              <c:numCache>
                <c:formatCode>General</c:formatCode>
                <c:ptCount val="21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</c:numCache>
            </c:numRef>
          </c:xVal>
          <c:yVal>
            <c:numRef>
              <c:f>Boost!$D$15:$D$229</c:f>
              <c:numCache>
                <c:formatCode>General</c:formatCode>
                <c:ptCount val="215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1.5</c:v>
                </c:pt>
                <c:pt idx="201">
                  <c:v>1.5</c:v>
                </c:pt>
                <c:pt idx="202">
                  <c:v>1.5</c:v>
                </c:pt>
                <c:pt idx="203">
                  <c:v>1.5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1.5</c:v>
                </c:pt>
                <c:pt idx="208">
                  <c:v>1.5</c:v>
                </c:pt>
                <c:pt idx="209">
                  <c:v>1.5</c:v>
                </c:pt>
                <c:pt idx="210">
                  <c:v>1.5</c:v>
                </c:pt>
                <c:pt idx="211">
                  <c:v>1.5</c:v>
                </c:pt>
                <c:pt idx="212">
                  <c:v>1.5</c:v>
                </c:pt>
                <c:pt idx="213">
                  <c:v>1.5</c:v>
                </c:pt>
                <c:pt idx="214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EA-42BB-969B-F58694301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694223"/>
        <c:axId val="1117678207"/>
      </c:scatterChart>
      <c:valAx>
        <c:axId val="134869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7678207"/>
        <c:crosses val="autoZero"/>
        <c:crossBetween val="midCat"/>
      </c:valAx>
      <c:valAx>
        <c:axId val="111767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Current</a:t>
                </a:r>
                <a:r>
                  <a:rPr lang="fr-FR" baseline="0"/>
                  <a:t> (A)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8694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30149</xdr:colOff>
      <xdr:row>1</xdr:row>
      <xdr:rowOff>828</xdr:rowOff>
    </xdr:from>
    <xdr:to>
      <xdr:col>17</xdr:col>
      <xdr:colOff>200439</xdr:colOff>
      <xdr:row>19</xdr:row>
      <xdr:rowOff>33131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F52A38-5F60-3B47-53B2-86C432F63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10271</xdr:colOff>
      <xdr:row>1</xdr:row>
      <xdr:rowOff>14080</xdr:rowOff>
    </xdr:from>
    <xdr:to>
      <xdr:col>17</xdr:col>
      <xdr:colOff>180561</xdr:colOff>
      <xdr:row>19</xdr:row>
      <xdr:rowOff>46383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C823C-43B3-4347-8681-3616250A8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2</xdr:row>
      <xdr:rowOff>19210</xdr:rowOff>
    </xdr:from>
    <xdr:to>
      <xdr:col>7</xdr:col>
      <xdr:colOff>572980</xdr:colOff>
      <xdr:row>9</xdr:row>
      <xdr:rowOff>32179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78B1C-5E8D-B26C-2382-431D9BB3C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80" y="384970"/>
          <a:ext cx="2668480" cy="1293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5"/>
  <sheetViews>
    <sheetView tabSelected="1" zoomScale="115" zoomScaleNormal="115" workbookViewId="0">
      <selection activeCell="E35" sqref="E35"/>
    </sheetView>
  </sheetViews>
  <sheetFormatPr defaultColWidth="8.88671875" defaultRowHeight="14.4" x14ac:dyDescent="0.3"/>
  <cols>
    <col min="1" max="4" width="12.6640625" style="1" customWidth="1"/>
    <col min="5" max="5" width="27.109375" style="1" customWidth="1"/>
    <col min="6" max="6" width="9.88671875" style="1" customWidth="1"/>
    <col min="7" max="16384" width="8.88671875" style="1"/>
  </cols>
  <sheetData>
    <row r="1" spans="1:8" x14ac:dyDescent="0.3">
      <c r="A1" s="15" t="s">
        <v>16</v>
      </c>
      <c r="B1" s="15"/>
      <c r="C1" s="15"/>
      <c r="E1" s="15" t="s">
        <v>37</v>
      </c>
      <c r="F1" s="15"/>
      <c r="G1" s="15"/>
    </row>
    <row r="2" spans="1:8" x14ac:dyDescent="0.3">
      <c r="A2" s="2" t="s">
        <v>0</v>
      </c>
      <c r="B2" s="2">
        <v>24</v>
      </c>
      <c r="C2" s="2" t="s">
        <v>6</v>
      </c>
      <c r="E2" s="2" t="s">
        <v>7</v>
      </c>
      <c r="F2" s="2">
        <v>505</v>
      </c>
      <c r="G2" s="2" t="s">
        <v>8</v>
      </c>
    </row>
    <row r="3" spans="1:8" x14ac:dyDescent="0.3">
      <c r="A3" s="2" t="s">
        <v>1</v>
      </c>
      <c r="B3" s="2">
        <v>4</v>
      </c>
      <c r="C3" s="2" t="s">
        <v>6</v>
      </c>
      <c r="E3" s="3" t="s">
        <v>24</v>
      </c>
      <c r="F3" s="7">
        <f>10^6/(F2*1000)</f>
        <v>1.9801980198019802</v>
      </c>
      <c r="G3" s="3" t="s">
        <v>25</v>
      </c>
    </row>
    <row r="4" spans="1:8" x14ac:dyDescent="0.3">
      <c r="A4" s="2" t="s">
        <v>14</v>
      </c>
      <c r="B4" s="2">
        <v>3.5</v>
      </c>
      <c r="C4" s="2" t="s">
        <v>11</v>
      </c>
      <c r="E4" s="3" t="s">
        <v>27</v>
      </c>
      <c r="F4" s="4">
        <f>100*B3/B2</f>
        <v>16.666666666666668</v>
      </c>
      <c r="G4" s="3" t="s">
        <v>28</v>
      </c>
    </row>
    <row r="5" spans="1:8" x14ac:dyDescent="0.3">
      <c r="A5" s="2" t="s">
        <v>36</v>
      </c>
      <c r="B5" s="2">
        <v>0.8</v>
      </c>
      <c r="C5" s="2" t="s">
        <v>6</v>
      </c>
      <c r="E5" s="3" t="s">
        <v>29</v>
      </c>
      <c r="F5" s="5">
        <f>F3*F4/100</f>
        <v>0.33003300330033009</v>
      </c>
      <c r="G5" s="3" t="s">
        <v>25</v>
      </c>
      <c r="H5" s="1" t="s">
        <v>44</v>
      </c>
    </row>
    <row r="6" spans="1:8" x14ac:dyDescent="0.3">
      <c r="E6" s="3" t="s">
        <v>30</v>
      </c>
      <c r="F6" s="5">
        <f>IF(B4&lt;F9/2, 2*B4*F12/B3, F3-F5)</f>
        <v>1.6501650165016502</v>
      </c>
      <c r="G6" s="3" t="s">
        <v>25</v>
      </c>
    </row>
    <row r="7" spans="1:8" x14ac:dyDescent="0.3">
      <c r="A7" s="15" t="s">
        <v>2</v>
      </c>
      <c r="B7" s="15"/>
      <c r="C7" s="15"/>
    </row>
    <row r="8" spans="1:8" x14ac:dyDescent="0.3">
      <c r="A8" s="3" t="s">
        <v>3</v>
      </c>
      <c r="B8" s="3">
        <f>B9*(B3/B5-1)</f>
        <v>40</v>
      </c>
      <c r="C8" s="3" t="s">
        <v>5</v>
      </c>
      <c r="E8" s="15" t="s">
        <v>9</v>
      </c>
      <c r="F8" s="15"/>
      <c r="G8" s="15"/>
    </row>
    <row r="9" spans="1:8" x14ac:dyDescent="0.3">
      <c r="A9" s="2" t="s">
        <v>4</v>
      </c>
      <c r="B9" s="2">
        <v>10</v>
      </c>
      <c r="C9" s="2" t="s">
        <v>5</v>
      </c>
      <c r="E9" s="2" t="s">
        <v>10</v>
      </c>
      <c r="F9" s="2">
        <v>1</v>
      </c>
      <c r="G9" s="2" t="s">
        <v>11</v>
      </c>
    </row>
    <row r="10" spans="1:8" x14ac:dyDescent="0.3">
      <c r="E10" s="3" t="s">
        <v>13</v>
      </c>
      <c r="F10" s="3">
        <f>B4+F9/2</f>
        <v>4</v>
      </c>
      <c r="G10" s="3" t="s">
        <v>11</v>
      </c>
    </row>
    <row r="11" spans="1:8" x14ac:dyDescent="0.3">
      <c r="E11" s="2" t="s">
        <v>17</v>
      </c>
      <c r="F11" s="2">
        <v>18.899999999999999</v>
      </c>
      <c r="G11" s="2" t="s">
        <v>18</v>
      </c>
    </row>
    <row r="12" spans="1:8" x14ac:dyDescent="0.3">
      <c r="A12" s="2" t="s">
        <v>31</v>
      </c>
      <c r="B12" s="2">
        <v>100</v>
      </c>
      <c r="E12" s="3" t="s">
        <v>41</v>
      </c>
      <c r="F12" s="5">
        <f>10^6*B3*(B2-B3)/(B2*F9*F2*1000)</f>
        <v>6.6006600660066006</v>
      </c>
      <c r="G12" s="3" t="s">
        <v>12</v>
      </c>
    </row>
    <row r="13" spans="1:8" x14ac:dyDescent="0.3">
      <c r="A13" s="1" t="s">
        <v>26</v>
      </c>
      <c r="C13" s="1" t="s">
        <v>23</v>
      </c>
      <c r="E13" s="2" t="s">
        <v>42</v>
      </c>
      <c r="F13" s="9">
        <v>6.8</v>
      </c>
      <c r="G13" s="2" t="s">
        <v>12</v>
      </c>
    </row>
    <row r="14" spans="1:8" x14ac:dyDescent="0.3">
      <c r="A14" s="1">
        <v>0</v>
      </c>
      <c r="B14" s="1">
        <f t="shared" ref="B14:B77" si="0">IF(MOD(A14,$F$3)&lt;=$F$5,$F$19 + $F$21 * MOD(A14,$F$3),$F$20 + $F$22 * (MOD(A14,$F$3)-$F$5))</f>
        <v>3.0146573480877499</v>
      </c>
      <c r="C14" s="1">
        <f>IF(B14&gt;=0,B14,0)</f>
        <v>3.0146573480877499</v>
      </c>
      <c r="D14" s="1" t="s">
        <v>34</v>
      </c>
      <c r="E14" s="3" t="s">
        <v>45</v>
      </c>
      <c r="F14" s="5">
        <f>F18*100/B4</f>
        <v>27.733865823557149</v>
      </c>
      <c r="G14" s="3" t="s">
        <v>28</v>
      </c>
    </row>
    <row r="15" spans="1:8" x14ac:dyDescent="0.3">
      <c r="A15" s="1">
        <f>F3/(B12)</f>
        <v>1.9801980198019802E-2</v>
      </c>
      <c r="B15" s="1">
        <f t="shared" si="0"/>
        <v>3.0728984663172199</v>
      </c>
      <c r="C15" s="1">
        <f t="shared" ref="C15:C78" si="1">IF(B15&gt;=0,B15,0)</f>
        <v>3.0728984663172199</v>
      </c>
      <c r="D15" s="1">
        <f t="shared" ref="D15:D78" si="2">IF(B14&lt;0, 0, IF(MOD(A14,$F$3)&lt;$F$3*$F$4/100, $B$4/2, 0))</f>
        <v>1.75</v>
      </c>
      <c r="E15" s="3" t="s">
        <v>19</v>
      </c>
      <c r="F15" s="7">
        <f>B4^2*F11/1000</f>
        <v>0.23152499999999998</v>
      </c>
      <c r="G15" s="3" t="s">
        <v>20</v>
      </c>
    </row>
    <row r="16" spans="1:8" x14ac:dyDescent="0.3">
      <c r="A16" s="1">
        <f>2*A15</f>
        <v>3.9603960396039604E-2</v>
      </c>
      <c r="B16" s="1">
        <f t="shared" si="0"/>
        <v>3.1311395845466898</v>
      </c>
      <c r="C16" s="1">
        <f t="shared" si="1"/>
        <v>3.1311395845466898</v>
      </c>
      <c r="D16" s="1">
        <f t="shared" si="2"/>
        <v>1.75</v>
      </c>
    </row>
    <row r="17" spans="1:9" x14ac:dyDescent="0.3">
      <c r="A17" s="1">
        <f t="shared" ref="A17:A48" si="3">A16+$A$15</f>
        <v>5.9405940594059403E-2</v>
      </c>
      <c r="B17" s="1">
        <f t="shared" si="0"/>
        <v>3.1893807027761598</v>
      </c>
      <c r="C17" s="1">
        <f t="shared" si="1"/>
        <v>3.1893807027761598</v>
      </c>
      <c r="D17" s="1">
        <f t="shared" si="2"/>
        <v>1.75</v>
      </c>
      <c r="E17" s="17" t="s">
        <v>43</v>
      </c>
      <c r="F17" s="17"/>
      <c r="G17" s="17"/>
    </row>
    <row r="18" spans="1:9" x14ac:dyDescent="0.3">
      <c r="A18" s="1">
        <f t="shared" si="3"/>
        <v>7.9207920792079209E-2</v>
      </c>
      <c r="B18" s="1">
        <f t="shared" si="0"/>
        <v>3.2476218210056298</v>
      </c>
      <c r="C18" s="1">
        <f t="shared" si="1"/>
        <v>3.2476218210056298</v>
      </c>
      <c r="D18" s="1">
        <f t="shared" si="2"/>
        <v>1.75</v>
      </c>
      <c r="E18" s="3" t="s">
        <v>10</v>
      </c>
      <c r="F18" s="7">
        <f>F20-F19</f>
        <v>0.97068530382450025</v>
      </c>
      <c r="G18" s="3" t="s">
        <v>11</v>
      </c>
    </row>
    <row r="19" spans="1:9" x14ac:dyDescent="0.3">
      <c r="A19" s="1">
        <f t="shared" si="3"/>
        <v>9.9009900990099015E-2</v>
      </c>
      <c r="B19" s="1">
        <f t="shared" si="0"/>
        <v>3.3058629392350998</v>
      </c>
      <c r="C19" s="1">
        <f t="shared" si="1"/>
        <v>3.3058629392350998</v>
      </c>
      <c r="D19" s="1">
        <f t="shared" si="2"/>
        <v>1.75</v>
      </c>
      <c r="E19" s="3" t="s">
        <v>21</v>
      </c>
      <c r="F19" s="7">
        <f>B4-(10^6*B3*(B2-B3)/(B2*F13*F2*1000)/2)</f>
        <v>3.0146573480877499</v>
      </c>
      <c r="G19" s="3" t="s">
        <v>11</v>
      </c>
    </row>
    <row r="20" spans="1:9" x14ac:dyDescent="0.3">
      <c r="A20" s="1">
        <f t="shared" si="3"/>
        <v>0.11881188118811882</v>
      </c>
      <c r="B20" s="1">
        <f t="shared" si="0"/>
        <v>3.3641040574645702</v>
      </c>
      <c r="C20" s="1">
        <f t="shared" si="1"/>
        <v>3.3641040574645702</v>
      </c>
      <c r="D20" s="1">
        <f t="shared" si="2"/>
        <v>1.75</v>
      </c>
      <c r="E20" s="3" t="s">
        <v>22</v>
      </c>
      <c r="F20" s="7">
        <f>B4+(10^6*B3*(B2-B3)/(B2*F13*F2*1000)/2)</f>
        <v>3.9853426519122501</v>
      </c>
      <c r="G20" s="3" t="s">
        <v>11</v>
      </c>
    </row>
    <row r="21" spans="1:9" x14ac:dyDescent="0.3">
      <c r="A21" s="1">
        <f t="shared" si="3"/>
        <v>0.13861386138613863</v>
      </c>
      <c r="B21" s="1">
        <f t="shared" si="0"/>
        <v>3.4223451756940402</v>
      </c>
      <c r="C21" s="1">
        <f t="shared" si="1"/>
        <v>3.4223451756940402</v>
      </c>
      <c r="D21" s="1">
        <f t="shared" si="2"/>
        <v>1.75</v>
      </c>
      <c r="E21" s="3" t="s">
        <v>32</v>
      </c>
      <c r="F21" s="5">
        <f>(B2-B3)/(F13)</f>
        <v>2.9411764705882355</v>
      </c>
      <c r="G21" s="3" t="s">
        <v>35</v>
      </c>
    </row>
    <row r="22" spans="1:9" x14ac:dyDescent="0.3">
      <c r="A22" s="1">
        <f t="shared" si="3"/>
        <v>0.15841584158415842</v>
      </c>
      <c r="B22" s="1">
        <f t="shared" si="0"/>
        <v>3.4805862939235102</v>
      </c>
      <c r="C22" s="1">
        <f t="shared" si="1"/>
        <v>3.4805862939235102</v>
      </c>
      <c r="D22" s="1">
        <f t="shared" si="2"/>
        <v>1.75</v>
      </c>
      <c r="E22" s="3" t="s">
        <v>33</v>
      </c>
      <c r="F22" s="5">
        <f>-B3/(F13)</f>
        <v>-0.58823529411764708</v>
      </c>
      <c r="G22" s="3" t="s">
        <v>35</v>
      </c>
    </row>
    <row r="23" spans="1:9" x14ac:dyDescent="0.3">
      <c r="A23" s="1">
        <f t="shared" si="3"/>
        <v>0.17821782178217821</v>
      </c>
      <c r="B23" s="1">
        <f t="shared" si="0"/>
        <v>3.5388274121529797</v>
      </c>
      <c r="C23" s="1">
        <f t="shared" si="1"/>
        <v>3.5388274121529797</v>
      </c>
      <c r="D23" s="1">
        <f t="shared" si="2"/>
        <v>1.75</v>
      </c>
    </row>
    <row r="24" spans="1:9" x14ac:dyDescent="0.3">
      <c r="A24" s="1">
        <f t="shared" si="3"/>
        <v>0.198019801980198</v>
      </c>
      <c r="B24" s="1">
        <f t="shared" si="0"/>
        <v>3.5970685303824501</v>
      </c>
      <c r="C24" s="1">
        <f t="shared" si="1"/>
        <v>3.5970685303824501</v>
      </c>
      <c r="D24" s="1">
        <f t="shared" si="2"/>
        <v>1.75</v>
      </c>
      <c r="E24" s="5" t="s">
        <v>39</v>
      </c>
      <c r="F24" s="4">
        <f>(2*F13)/((1-F4/100)*F3)</f>
        <v>8.2416000000000018</v>
      </c>
      <c r="G24" s="3" t="s">
        <v>38</v>
      </c>
    </row>
    <row r="25" spans="1:9" x14ac:dyDescent="0.3">
      <c r="A25" s="1">
        <f t="shared" si="3"/>
        <v>0.21782178217821779</v>
      </c>
      <c r="B25" s="1">
        <f t="shared" si="0"/>
        <v>3.6553096486119196</v>
      </c>
      <c r="C25" s="1">
        <f t="shared" si="1"/>
        <v>3.6553096486119196</v>
      </c>
      <c r="D25" s="1">
        <f t="shared" si="2"/>
        <v>1.75</v>
      </c>
      <c r="E25" s="3" t="s">
        <v>40</v>
      </c>
      <c r="F25" s="7">
        <f>B3/F24</f>
        <v>0.48534265191224996</v>
      </c>
      <c r="G25" s="3" t="s">
        <v>11</v>
      </c>
    </row>
    <row r="26" spans="1:9" x14ac:dyDescent="0.3">
      <c r="A26" s="1">
        <f t="shared" si="3"/>
        <v>0.23762376237623759</v>
      </c>
      <c r="B26" s="1">
        <f t="shared" si="0"/>
        <v>3.7135507668413901</v>
      </c>
      <c r="C26" s="1">
        <f t="shared" si="1"/>
        <v>3.7135507668413901</v>
      </c>
      <c r="D26" s="1">
        <f t="shared" si="2"/>
        <v>1.75</v>
      </c>
    </row>
    <row r="27" spans="1:9" x14ac:dyDescent="0.3">
      <c r="A27" s="1">
        <f t="shared" si="3"/>
        <v>0.25742574257425738</v>
      </c>
      <c r="B27" s="1">
        <f t="shared" si="0"/>
        <v>3.7717918850708596</v>
      </c>
      <c r="C27" s="1">
        <f t="shared" si="1"/>
        <v>3.7717918850708596</v>
      </c>
      <c r="D27" s="1">
        <f t="shared" si="2"/>
        <v>1.75</v>
      </c>
      <c r="E27" s="15" t="s">
        <v>52</v>
      </c>
      <c r="F27" s="15"/>
      <c r="G27" s="15"/>
    </row>
    <row r="28" spans="1:9" x14ac:dyDescent="0.3">
      <c r="A28" s="1">
        <f t="shared" si="3"/>
        <v>0.2772277227722772</v>
      </c>
      <c r="B28" s="1">
        <f t="shared" si="0"/>
        <v>3.83003300330033</v>
      </c>
      <c r="C28" s="1">
        <f t="shared" si="1"/>
        <v>3.83003300330033</v>
      </c>
      <c r="D28" s="1">
        <f t="shared" si="2"/>
        <v>1.75</v>
      </c>
      <c r="E28" s="2" t="s">
        <v>53</v>
      </c>
      <c r="F28" s="2">
        <v>0.1</v>
      </c>
      <c r="G28" s="2" t="s">
        <v>6</v>
      </c>
      <c r="H28" s="16" t="s">
        <v>57</v>
      </c>
    </row>
    <row r="29" spans="1:9" x14ac:dyDescent="0.3">
      <c r="A29" s="1">
        <f t="shared" si="3"/>
        <v>0.29702970297029702</v>
      </c>
      <c r="B29" s="1">
        <f t="shared" si="0"/>
        <v>3.8882741215298</v>
      </c>
      <c r="C29" s="1">
        <f t="shared" si="1"/>
        <v>3.8882741215298</v>
      </c>
      <c r="D29" s="1">
        <f t="shared" si="2"/>
        <v>1.75</v>
      </c>
      <c r="E29" s="2" t="s">
        <v>54</v>
      </c>
      <c r="F29" s="2">
        <v>0.25</v>
      </c>
      <c r="G29" s="2" t="s">
        <v>6</v>
      </c>
      <c r="H29" s="16"/>
      <c r="I29" s="8"/>
    </row>
    <row r="30" spans="1:9" x14ac:dyDescent="0.3">
      <c r="A30" s="1">
        <f t="shared" si="3"/>
        <v>0.31683168316831684</v>
      </c>
      <c r="B30" s="1">
        <f t="shared" si="0"/>
        <v>3.94651523975927</v>
      </c>
      <c r="C30" s="1">
        <f t="shared" si="1"/>
        <v>3.94651523975927</v>
      </c>
      <c r="D30" s="1">
        <f t="shared" si="2"/>
        <v>1.75</v>
      </c>
      <c r="E30" s="13" t="s">
        <v>55</v>
      </c>
      <c r="F30" s="14">
        <f>10^6*F18/(8*F2*10^3*F28)</f>
        <v>2.4026863956051989</v>
      </c>
      <c r="G30" s="13" t="s">
        <v>15</v>
      </c>
      <c r="H30" s="16"/>
      <c r="I30" s="8"/>
    </row>
    <row r="31" spans="1:9" x14ac:dyDescent="0.3">
      <c r="A31" s="1">
        <f t="shared" si="3"/>
        <v>0.33663366336633666</v>
      </c>
      <c r="B31" s="1">
        <f t="shared" si="0"/>
        <v>3.9814599106969522</v>
      </c>
      <c r="C31" s="1">
        <f t="shared" si="1"/>
        <v>3.9814599106969522</v>
      </c>
      <c r="D31" s="1">
        <f t="shared" si="2"/>
        <v>1.75</v>
      </c>
      <c r="E31" s="13" t="s">
        <v>56</v>
      </c>
      <c r="F31" s="14">
        <f>10^6*(F18^2*F13/10^6)/(2*F28*F29)</f>
        <v>128.14327443227728</v>
      </c>
      <c r="G31" s="13" t="s">
        <v>15</v>
      </c>
      <c r="H31" s="16"/>
      <c r="I31" s="8"/>
    </row>
    <row r="32" spans="1:9" x14ac:dyDescent="0.3">
      <c r="A32" s="1">
        <f t="shared" si="3"/>
        <v>0.35643564356435647</v>
      </c>
      <c r="B32" s="1">
        <f t="shared" si="0"/>
        <v>3.9698116870510582</v>
      </c>
      <c r="C32" s="1">
        <f t="shared" si="1"/>
        <v>3.9698116870510582</v>
      </c>
      <c r="D32" s="1">
        <f t="shared" si="2"/>
        <v>0</v>
      </c>
      <c r="H32" s="8"/>
      <c r="I32" s="8"/>
    </row>
    <row r="33" spans="1:9" x14ac:dyDescent="0.3">
      <c r="A33" s="1">
        <f t="shared" si="3"/>
        <v>0.37623762376237629</v>
      </c>
      <c r="B33" s="1">
        <f t="shared" si="0"/>
        <v>3.9581634634051639</v>
      </c>
      <c r="C33" s="1">
        <f t="shared" si="1"/>
        <v>3.9581634634051639</v>
      </c>
      <c r="D33" s="1">
        <f t="shared" si="2"/>
        <v>0</v>
      </c>
      <c r="H33" s="8"/>
      <c r="I33" s="8"/>
    </row>
    <row r="34" spans="1:9" x14ac:dyDescent="0.3">
      <c r="A34" s="1">
        <f t="shared" si="3"/>
        <v>0.39603960396039611</v>
      </c>
      <c r="B34" s="1">
        <f t="shared" si="0"/>
        <v>3.94651523975927</v>
      </c>
      <c r="C34" s="1">
        <f t="shared" si="1"/>
        <v>3.94651523975927</v>
      </c>
      <c r="D34" s="1">
        <f t="shared" si="2"/>
        <v>0</v>
      </c>
      <c r="H34" s="8"/>
      <c r="I34" s="8"/>
    </row>
    <row r="35" spans="1:9" ht="15.6" customHeight="1" x14ac:dyDescent="0.3">
      <c r="A35" s="1">
        <f t="shared" si="3"/>
        <v>0.41584158415841593</v>
      </c>
      <c r="B35" s="1">
        <f t="shared" si="0"/>
        <v>3.9348670161133761</v>
      </c>
      <c r="C35" s="1">
        <f t="shared" si="1"/>
        <v>3.9348670161133761</v>
      </c>
      <c r="D35" s="1">
        <f t="shared" si="2"/>
        <v>0</v>
      </c>
      <c r="H35" s="8"/>
      <c r="I35" s="8"/>
    </row>
    <row r="36" spans="1:9" x14ac:dyDescent="0.3">
      <c r="A36" s="1">
        <f t="shared" si="3"/>
        <v>0.43564356435643575</v>
      </c>
      <c r="B36" s="1">
        <f t="shared" si="0"/>
        <v>3.9232187924674822</v>
      </c>
      <c r="C36" s="1">
        <f t="shared" si="1"/>
        <v>3.9232187924674822</v>
      </c>
      <c r="D36" s="1">
        <f t="shared" si="2"/>
        <v>0</v>
      </c>
      <c r="H36" s="8"/>
      <c r="I36" s="8"/>
    </row>
    <row r="37" spans="1:9" x14ac:dyDescent="0.3">
      <c r="A37" s="1">
        <f t="shared" si="3"/>
        <v>0.45544554455445557</v>
      </c>
      <c r="B37" s="1">
        <f t="shared" si="0"/>
        <v>3.9115705688215883</v>
      </c>
      <c r="C37" s="1">
        <f t="shared" si="1"/>
        <v>3.9115705688215883</v>
      </c>
      <c r="D37" s="1">
        <f t="shared" si="2"/>
        <v>0</v>
      </c>
      <c r="H37" s="8"/>
      <c r="I37" s="8"/>
    </row>
    <row r="38" spans="1:9" x14ac:dyDescent="0.3">
      <c r="A38" s="1">
        <f t="shared" si="3"/>
        <v>0.47524752475247539</v>
      </c>
      <c r="B38" s="1">
        <f t="shared" si="0"/>
        <v>3.8999223451756939</v>
      </c>
      <c r="C38" s="1">
        <f t="shared" si="1"/>
        <v>3.8999223451756939</v>
      </c>
      <c r="D38" s="1">
        <f t="shared" si="2"/>
        <v>0</v>
      </c>
      <c r="H38" s="8"/>
      <c r="I38" s="8"/>
    </row>
    <row r="39" spans="1:9" x14ac:dyDescent="0.3">
      <c r="A39" s="1">
        <f t="shared" si="3"/>
        <v>0.49504950495049521</v>
      </c>
      <c r="B39" s="1">
        <f t="shared" si="0"/>
        <v>3.8882741215298</v>
      </c>
      <c r="C39" s="1">
        <f t="shared" si="1"/>
        <v>3.8882741215298</v>
      </c>
      <c r="D39" s="1">
        <f t="shared" si="2"/>
        <v>0</v>
      </c>
      <c r="H39" s="8"/>
      <c r="I39" s="8"/>
    </row>
    <row r="40" spans="1:9" x14ac:dyDescent="0.3">
      <c r="A40" s="1">
        <f t="shared" si="3"/>
        <v>0.51485148514851498</v>
      </c>
      <c r="B40" s="1">
        <f t="shared" si="0"/>
        <v>3.8766258978839061</v>
      </c>
      <c r="C40" s="1">
        <f t="shared" si="1"/>
        <v>3.8766258978839061</v>
      </c>
      <c r="D40" s="1">
        <f t="shared" si="2"/>
        <v>0</v>
      </c>
      <c r="H40" s="8"/>
      <c r="I40" s="8"/>
    </row>
    <row r="41" spans="1:9" x14ac:dyDescent="0.3">
      <c r="A41" s="1">
        <f t="shared" si="3"/>
        <v>0.5346534653465348</v>
      </c>
      <c r="B41" s="1">
        <f t="shared" si="0"/>
        <v>3.8649776742380122</v>
      </c>
      <c r="C41" s="1">
        <f t="shared" si="1"/>
        <v>3.8649776742380122</v>
      </c>
      <c r="D41" s="1">
        <f t="shared" si="2"/>
        <v>0</v>
      </c>
      <c r="H41" s="8"/>
      <c r="I41" s="8"/>
    </row>
    <row r="42" spans="1:9" x14ac:dyDescent="0.3">
      <c r="A42" s="1">
        <f t="shared" si="3"/>
        <v>0.55445544554455461</v>
      </c>
      <c r="B42" s="1">
        <f t="shared" si="0"/>
        <v>3.8533294505921178</v>
      </c>
      <c r="C42" s="1">
        <f t="shared" si="1"/>
        <v>3.8533294505921178</v>
      </c>
      <c r="D42" s="1">
        <f t="shared" si="2"/>
        <v>0</v>
      </c>
      <c r="H42" s="8"/>
      <c r="I42" s="8"/>
    </row>
    <row r="43" spans="1:9" x14ac:dyDescent="0.3">
      <c r="A43" s="1">
        <f t="shared" si="3"/>
        <v>0.57425742574257443</v>
      </c>
      <c r="B43" s="1">
        <f t="shared" si="0"/>
        <v>3.8416812269462239</v>
      </c>
      <c r="C43" s="1">
        <f t="shared" si="1"/>
        <v>3.8416812269462239</v>
      </c>
      <c r="D43" s="1">
        <f t="shared" si="2"/>
        <v>0</v>
      </c>
      <c r="H43" s="8"/>
      <c r="I43" s="8"/>
    </row>
    <row r="44" spans="1:9" x14ac:dyDescent="0.3">
      <c r="A44" s="1">
        <f t="shared" si="3"/>
        <v>0.59405940594059425</v>
      </c>
      <c r="B44" s="1">
        <f t="shared" si="0"/>
        <v>3.83003300330033</v>
      </c>
      <c r="C44" s="1">
        <f t="shared" si="1"/>
        <v>3.83003300330033</v>
      </c>
      <c r="D44" s="1">
        <f t="shared" si="2"/>
        <v>0</v>
      </c>
      <c r="H44" s="8"/>
      <c r="I44" s="8"/>
    </row>
    <row r="45" spans="1:9" x14ac:dyDescent="0.3">
      <c r="A45" s="1">
        <f t="shared" si="3"/>
        <v>0.61386138613861407</v>
      </c>
      <c r="B45" s="1">
        <f t="shared" si="0"/>
        <v>3.8183847796544361</v>
      </c>
      <c r="C45" s="1">
        <f t="shared" si="1"/>
        <v>3.8183847796544361</v>
      </c>
      <c r="D45" s="1">
        <f t="shared" si="2"/>
        <v>0</v>
      </c>
      <c r="H45" s="8"/>
      <c r="I45" s="8"/>
    </row>
    <row r="46" spans="1:9" x14ac:dyDescent="0.3">
      <c r="A46" s="1">
        <f t="shared" si="3"/>
        <v>0.63366336633663389</v>
      </c>
      <c r="B46" s="1">
        <f t="shared" si="0"/>
        <v>3.8067365560085422</v>
      </c>
      <c r="C46" s="1">
        <f t="shared" si="1"/>
        <v>3.8067365560085422</v>
      </c>
      <c r="D46" s="1">
        <f t="shared" si="2"/>
        <v>0</v>
      </c>
      <c r="H46" s="8"/>
      <c r="I46" s="8"/>
    </row>
    <row r="47" spans="1:9" x14ac:dyDescent="0.3">
      <c r="A47" s="1">
        <f t="shared" si="3"/>
        <v>0.65346534653465371</v>
      </c>
      <c r="B47" s="1">
        <f t="shared" si="0"/>
        <v>3.7950883323626479</v>
      </c>
      <c r="C47" s="1">
        <f t="shared" si="1"/>
        <v>3.7950883323626479</v>
      </c>
      <c r="D47" s="1">
        <f t="shared" si="2"/>
        <v>0</v>
      </c>
      <c r="H47" s="8"/>
      <c r="I47" s="8"/>
    </row>
    <row r="48" spans="1:9" x14ac:dyDescent="0.3">
      <c r="A48" s="1">
        <f t="shared" si="3"/>
        <v>0.67326732673267353</v>
      </c>
      <c r="B48" s="1">
        <f t="shared" si="0"/>
        <v>3.783440108716754</v>
      </c>
      <c r="C48" s="1">
        <f t="shared" si="1"/>
        <v>3.783440108716754</v>
      </c>
      <c r="D48" s="1">
        <f t="shared" si="2"/>
        <v>0</v>
      </c>
      <c r="H48" s="8"/>
      <c r="I48" s="8"/>
    </row>
    <row r="49" spans="1:4" x14ac:dyDescent="0.3">
      <c r="A49" s="1">
        <f t="shared" ref="A49:A80" si="4">A48+$A$15</f>
        <v>0.69306930693069335</v>
      </c>
      <c r="B49" s="1">
        <f t="shared" si="0"/>
        <v>3.7717918850708601</v>
      </c>
      <c r="C49" s="1">
        <f t="shared" si="1"/>
        <v>3.7717918850708601</v>
      </c>
      <c r="D49" s="1">
        <f t="shared" si="2"/>
        <v>0</v>
      </c>
    </row>
    <row r="50" spans="1:4" x14ac:dyDescent="0.3">
      <c r="A50" s="1">
        <f t="shared" si="4"/>
        <v>0.71287128712871317</v>
      </c>
      <c r="B50" s="1">
        <f t="shared" si="0"/>
        <v>3.7601436614249661</v>
      </c>
      <c r="C50" s="1">
        <f t="shared" si="1"/>
        <v>3.7601436614249661</v>
      </c>
      <c r="D50" s="1">
        <f t="shared" si="2"/>
        <v>0</v>
      </c>
    </row>
    <row r="51" spans="1:4" x14ac:dyDescent="0.3">
      <c r="A51" s="1">
        <f t="shared" si="4"/>
        <v>0.73267326732673299</v>
      </c>
      <c r="B51" s="1">
        <f t="shared" si="0"/>
        <v>3.7484954377790718</v>
      </c>
      <c r="C51" s="1">
        <f t="shared" si="1"/>
        <v>3.7484954377790718</v>
      </c>
      <c r="D51" s="1">
        <f t="shared" si="2"/>
        <v>0</v>
      </c>
    </row>
    <row r="52" spans="1:4" x14ac:dyDescent="0.3">
      <c r="A52" s="1">
        <f t="shared" si="4"/>
        <v>0.75247524752475281</v>
      </c>
      <c r="B52" s="1">
        <f t="shared" si="0"/>
        <v>3.7368472141331779</v>
      </c>
      <c r="C52" s="1">
        <f t="shared" si="1"/>
        <v>3.7368472141331779</v>
      </c>
      <c r="D52" s="1">
        <f t="shared" si="2"/>
        <v>0</v>
      </c>
    </row>
    <row r="53" spans="1:4" x14ac:dyDescent="0.3">
      <c r="A53" s="1">
        <f t="shared" si="4"/>
        <v>0.77227722772277263</v>
      </c>
      <c r="B53" s="1">
        <f t="shared" si="0"/>
        <v>3.725198990487284</v>
      </c>
      <c r="C53" s="1">
        <f t="shared" si="1"/>
        <v>3.725198990487284</v>
      </c>
      <c r="D53" s="1">
        <f t="shared" si="2"/>
        <v>0</v>
      </c>
    </row>
    <row r="54" spans="1:4" x14ac:dyDescent="0.3">
      <c r="A54" s="1">
        <f t="shared" si="4"/>
        <v>0.79207920792079245</v>
      </c>
      <c r="B54" s="1">
        <f t="shared" si="0"/>
        <v>3.7135507668413901</v>
      </c>
      <c r="C54" s="1">
        <f t="shared" si="1"/>
        <v>3.7135507668413901</v>
      </c>
      <c r="D54" s="1">
        <f t="shared" si="2"/>
        <v>0</v>
      </c>
    </row>
    <row r="55" spans="1:4" x14ac:dyDescent="0.3">
      <c r="A55" s="1">
        <f t="shared" si="4"/>
        <v>0.81188118811881227</v>
      </c>
      <c r="B55" s="1">
        <f t="shared" si="0"/>
        <v>3.7019025431954957</v>
      </c>
      <c r="C55" s="1">
        <f t="shared" si="1"/>
        <v>3.7019025431954957</v>
      </c>
      <c r="D55" s="1">
        <f t="shared" si="2"/>
        <v>0</v>
      </c>
    </row>
    <row r="56" spans="1:4" x14ac:dyDescent="0.3">
      <c r="A56" s="1">
        <f t="shared" si="4"/>
        <v>0.83168316831683209</v>
      </c>
      <c r="B56" s="1">
        <f t="shared" si="0"/>
        <v>3.6902543195496018</v>
      </c>
      <c r="C56" s="1">
        <f t="shared" si="1"/>
        <v>3.6902543195496018</v>
      </c>
      <c r="D56" s="1">
        <f t="shared" si="2"/>
        <v>0</v>
      </c>
    </row>
    <row r="57" spans="1:4" x14ac:dyDescent="0.3">
      <c r="A57" s="1">
        <f t="shared" si="4"/>
        <v>0.85148514851485191</v>
      </c>
      <c r="B57" s="1">
        <f t="shared" si="0"/>
        <v>3.6786060959037079</v>
      </c>
      <c r="C57" s="1">
        <f t="shared" si="1"/>
        <v>3.6786060959037079</v>
      </c>
      <c r="D57" s="1">
        <f t="shared" si="2"/>
        <v>0</v>
      </c>
    </row>
    <row r="58" spans="1:4" x14ac:dyDescent="0.3">
      <c r="A58" s="1">
        <f t="shared" si="4"/>
        <v>0.87128712871287173</v>
      </c>
      <c r="B58" s="1">
        <f t="shared" si="0"/>
        <v>3.666957872257814</v>
      </c>
      <c r="C58" s="1">
        <f t="shared" si="1"/>
        <v>3.666957872257814</v>
      </c>
      <c r="D58" s="1">
        <f t="shared" si="2"/>
        <v>0</v>
      </c>
    </row>
    <row r="59" spans="1:4" x14ac:dyDescent="0.3">
      <c r="A59" s="1">
        <f t="shared" si="4"/>
        <v>0.89108910891089155</v>
      </c>
      <c r="B59" s="1">
        <f t="shared" si="0"/>
        <v>3.6553096486119196</v>
      </c>
      <c r="C59" s="1">
        <f t="shared" si="1"/>
        <v>3.6553096486119196</v>
      </c>
      <c r="D59" s="1">
        <f t="shared" si="2"/>
        <v>0</v>
      </c>
    </row>
    <row r="60" spans="1:4" x14ac:dyDescent="0.3">
      <c r="A60" s="1">
        <f t="shared" si="4"/>
        <v>0.91089108910891137</v>
      </c>
      <c r="B60" s="1">
        <f t="shared" si="0"/>
        <v>3.6436614249660257</v>
      </c>
      <c r="C60" s="1">
        <f t="shared" si="1"/>
        <v>3.6436614249660257</v>
      </c>
      <c r="D60" s="1">
        <f t="shared" si="2"/>
        <v>0</v>
      </c>
    </row>
    <row r="61" spans="1:4" x14ac:dyDescent="0.3">
      <c r="A61" s="1">
        <f t="shared" si="4"/>
        <v>0.93069306930693119</v>
      </c>
      <c r="B61" s="1">
        <f t="shared" si="0"/>
        <v>3.6320132013201318</v>
      </c>
      <c r="C61" s="1">
        <f t="shared" si="1"/>
        <v>3.6320132013201318</v>
      </c>
      <c r="D61" s="1">
        <f t="shared" si="2"/>
        <v>0</v>
      </c>
    </row>
    <row r="62" spans="1:4" x14ac:dyDescent="0.3">
      <c r="A62" s="1">
        <f t="shared" si="4"/>
        <v>0.95049504950495101</v>
      </c>
      <c r="B62" s="1">
        <f t="shared" si="0"/>
        <v>3.6203649776742379</v>
      </c>
      <c r="C62" s="1">
        <f t="shared" si="1"/>
        <v>3.6203649776742379</v>
      </c>
      <c r="D62" s="1">
        <f t="shared" si="2"/>
        <v>0</v>
      </c>
    </row>
    <row r="63" spans="1:4" x14ac:dyDescent="0.3">
      <c r="A63" s="1">
        <f t="shared" si="4"/>
        <v>0.97029702970297083</v>
      </c>
      <c r="B63" s="1">
        <f t="shared" si="0"/>
        <v>3.608716754028344</v>
      </c>
      <c r="C63" s="1">
        <f t="shared" si="1"/>
        <v>3.608716754028344</v>
      </c>
      <c r="D63" s="1">
        <f t="shared" si="2"/>
        <v>0</v>
      </c>
    </row>
    <row r="64" spans="1:4" x14ac:dyDescent="0.3">
      <c r="A64" s="1">
        <f t="shared" si="4"/>
        <v>0.99009900990099065</v>
      </c>
      <c r="B64" s="1">
        <f t="shared" si="0"/>
        <v>3.5970685303824497</v>
      </c>
      <c r="C64" s="1">
        <f t="shared" si="1"/>
        <v>3.5970685303824497</v>
      </c>
      <c r="D64" s="1">
        <f t="shared" si="2"/>
        <v>0</v>
      </c>
    </row>
    <row r="65" spans="1:4" x14ac:dyDescent="0.3">
      <c r="A65" s="1">
        <f t="shared" si="4"/>
        <v>1.0099009900990104</v>
      </c>
      <c r="B65" s="1">
        <f t="shared" si="0"/>
        <v>3.5854203067365558</v>
      </c>
      <c r="C65" s="1">
        <f t="shared" si="1"/>
        <v>3.5854203067365558</v>
      </c>
      <c r="D65" s="1">
        <f t="shared" si="2"/>
        <v>0</v>
      </c>
    </row>
    <row r="66" spans="1:4" x14ac:dyDescent="0.3">
      <c r="A66" s="1">
        <f t="shared" si="4"/>
        <v>1.0297029702970302</v>
      </c>
      <c r="B66" s="1">
        <f t="shared" si="0"/>
        <v>3.5737720830906619</v>
      </c>
      <c r="C66" s="1">
        <f t="shared" si="1"/>
        <v>3.5737720830906619</v>
      </c>
      <c r="D66" s="1">
        <f t="shared" si="2"/>
        <v>0</v>
      </c>
    </row>
    <row r="67" spans="1:4" x14ac:dyDescent="0.3">
      <c r="A67" s="1">
        <f t="shared" si="4"/>
        <v>1.04950495049505</v>
      </c>
      <c r="B67" s="1">
        <f t="shared" si="0"/>
        <v>3.5621238594447679</v>
      </c>
      <c r="C67" s="1">
        <f t="shared" si="1"/>
        <v>3.5621238594447679</v>
      </c>
      <c r="D67" s="1">
        <f t="shared" si="2"/>
        <v>0</v>
      </c>
    </row>
    <row r="68" spans="1:4" x14ac:dyDescent="0.3">
      <c r="A68" s="1">
        <f t="shared" si="4"/>
        <v>1.0693069306930698</v>
      </c>
      <c r="B68" s="1">
        <f t="shared" si="0"/>
        <v>3.5504756357988736</v>
      </c>
      <c r="C68" s="1">
        <f t="shared" si="1"/>
        <v>3.5504756357988736</v>
      </c>
      <c r="D68" s="1">
        <f t="shared" si="2"/>
        <v>0</v>
      </c>
    </row>
    <row r="69" spans="1:4" x14ac:dyDescent="0.3">
      <c r="A69" s="1">
        <f t="shared" si="4"/>
        <v>1.0891089108910896</v>
      </c>
      <c r="B69" s="1">
        <f t="shared" si="0"/>
        <v>3.5388274121529797</v>
      </c>
      <c r="C69" s="1">
        <f t="shared" si="1"/>
        <v>3.5388274121529797</v>
      </c>
      <c r="D69" s="1">
        <f t="shared" si="2"/>
        <v>0</v>
      </c>
    </row>
    <row r="70" spans="1:4" x14ac:dyDescent="0.3">
      <c r="A70" s="1">
        <f t="shared" si="4"/>
        <v>1.1089108910891095</v>
      </c>
      <c r="B70" s="1">
        <f t="shared" si="0"/>
        <v>3.5271791885070858</v>
      </c>
      <c r="C70" s="1">
        <f t="shared" si="1"/>
        <v>3.5271791885070858</v>
      </c>
      <c r="D70" s="1">
        <f t="shared" si="2"/>
        <v>0</v>
      </c>
    </row>
    <row r="71" spans="1:4" x14ac:dyDescent="0.3">
      <c r="A71" s="1">
        <f t="shared" si="4"/>
        <v>1.1287128712871293</v>
      </c>
      <c r="B71" s="1">
        <f t="shared" si="0"/>
        <v>3.5155309648611919</v>
      </c>
      <c r="C71" s="1">
        <f t="shared" si="1"/>
        <v>3.5155309648611919</v>
      </c>
      <c r="D71" s="1">
        <f t="shared" si="2"/>
        <v>0</v>
      </c>
    </row>
    <row r="72" spans="1:4" x14ac:dyDescent="0.3">
      <c r="A72" s="1">
        <f t="shared" si="4"/>
        <v>1.1485148514851491</v>
      </c>
      <c r="B72" s="1">
        <f t="shared" si="0"/>
        <v>3.5038827412152975</v>
      </c>
      <c r="C72" s="1">
        <f t="shared" si="1"/>
        <v>3.5038827412152975</v>
      </c>
      <c r="D72" s="1">
        <f t="shared" si="2"/>
        <v>0</v>
      </c>
    </row>
    <row r="73" spans="1:4" x14ac:dyDescent="0.3">
      <c r="A73" s="1">
        <f t="shared" si="4"/>
        <v>1.1683168316831689</v>
      </c>
      <c r="B73" s="1">
        <f t="shared" si="0"/>
        <v>3.4922345175694036</v>
      </c>
      <c r="C73" s="1">
        <f t="shared" si="1"/>
        <v>3.4922345175694036</v>
      </c>
      <c r="D73" s="1">
        <f t="shared" si="2"/>
        <v>0</v>
      </c>
    </row>
    <row r="74" spans="1:4" x14ac:dyDescent="0.3">
      <c r="A74" s="1">
        <f t="shared" si="4"/>
        <v>1.1881188118811887</v>
      </c>
      <c r="B74" s="1">
        <f t="shared" si="0"/>
        <v>3.4805862939235097</v>
      </c>
      <c r="C74" s="1">
        <f t="shared" si="1"/>
        <v>3.4805862939235097</v>
      </c>
      <c r="D74" s="1">
        <f t="shared" si="2"/>
        <v>0</v>
      </c>
    </row>
    <row r="75" spans="1:4" x14ac:dyDescent="0.3">
      <c r="A75" s="1">
        <f t="shared" si="4"/>
        <v>1.2079207920792085</v>
      </c>
      <c r="B75" s="1">
        <f t="shared" si="0"/>
        <v>3.4689380702776158</v>
      </c>
      <c r="C75" s="1">
        <f t="shared" si="1"/>
        <v>3.4689380702776158</v>
      </c>
      <c r="D75" s="1">
        <f t="shared" si="2"/>
        <v>0</v>
      </c>
    </row>
    <row r="76" spans="1:4" x14ac:dyDescent="0.3">
      <c r="A76" s="1">
        <f t="shared" si="4"/>
        <v>1.2277227722772284</v>
      </c>
      <c r="B76" s="1">
        <f t="shared" si="0"/>
        <v>3.4572898466317215</v>
      </c>
      <c r="C76" s="1">
        <f t="shared" si="1"/>
        <v>3.4572898466317215</v>
      </c>
      <c r="D76" s="1">
        <f t="shared" si="2"/>
        <v>0</v>
      </c>
    </row>
    <row r="77" spans="1:4" x14ac:dyDescent="0.3">
      <c r="A77" s="1">
        <f t="shared" si="4"/>
        <v>1.2475247524752482</v>
      </c>
      <c r="B77" s="1">
        <f t="shared" si="0"/>
        <v>3.4456416229858275</v>
      </c>
      <c r="C77" s="1">
        <f t="shared" si="1"/>
        <v>3.4456416229858275</v>
      </c>
      <c r="D77" s="1">
        <f t="shared" si="2"/>
        <v>0</v>
      </c>
    </row>
    <row r="78" spans="1:4" x14ac:dyDescent="0.3">
      <c r="A78" s="1">
        <f t="shared" si="4"/>
        <v>1.267326732673268</v>
      </c>
      <c r="B78" s="1">
        <f t="shared" ref="B78:B141" si="5">IF(MOD(A78,$F$3)&lt;=$F$5,$F$19 + $F$21 * MOD(A78,$F$3),$F$20 + $F$22 * (MOD(A78,$F$3)-$F$5))</f>
        <v>3.4339933993399336</v>
      </c>
      <c r="C78" s="1">
        <f t="shared" si="1"/>
        <v>3.4339933993399336</v>
      </c>
      <c r="D78" s="1">
        <f t="shared" si="2"/>
        <v>0</v>
      </c>
    </row>
    <row r="79" spans="1:4" x14ac:dyDescent="0.3">
      <c r="A79" s="1">
        <f t="shared" si="4"/>
        <v>1.2871287128712878</v>
      </c>
      <c r="B79" s="1">
        <f t="shared" si="5"/>
        <v>3.4223451756940397</v>
      </c>
      <c r="C79" s="1">
        <f t="shared" ref="C79:C142" si="6">IF(B79&gt;=0,B79,0)</f>
        <v>3.4223451756940397</v>
      </c>
      <c r="D79" s="1">
        <f t="shared" ref="D79:D142" si="7">IF(B78&lt;0, 0, IF(MOD(A78,$F$3)&lt;$F$3*$F$4/100, $B$4/2, 0))</f>
        <v>0</v>
      </c>
    </row>
    <row r="80" spans="1:4" x14ac:dyDescent="0.3">
      <c r="A80" s="1">
        <f t="shared" si="4"/>
        <v>1.3069306930693076</v>
      </c>
      <c r="B80" s="1">
        <f t="shared" si="5"/>
        <v>3.4106969520481458</v>
      </c>
      <c r="C80" s="1">
        <f t="shared" si="6"/>
        <v>3.4106969520481458</v>
      </c>
      <c r="D80" s="1">
        <f t="shared" si="7"/>
        <v>0</v>
      </c>
    </row>
    <row r="81" spans="1:4" x14ac:dyDescent="0.3">
      <c r="A81" s="1">
        <f t="shared" ref="A81:A112" si="8">A80+$A$15</f>
        <v>1.3267326732673275</v>
      </c>
      <c r="B81" s="1">
        <f t="shared" si="5"/>
        <v>3.3990487284022515</v>
      </c>
      <c r="C81" s="1">
        <f t="shared" si="6"/>
        <v>3.3990487284022515</v>
      </c>
      <c r="D81" s="1">
        <f t="shared" si="7"/>
        <v>0</v>
      </c>
    </row>
    <row r="82" spans="1:4" x14ac:dyDescent="0.3">
      <c r="A82" s="1">
        <f t="shared" si="8"/>
        <v>1.3465346534653473</v>
      </c>
      <c r="B82" s="1">
        <f t="shared" si="5"/>
        <v>3.3874005047563576</v>
      </c>
      <c r="C82" s="1">
        <f t="shared" si="6"/>
        <v>3.3874005047563576</v>
      </c>
      <c r="D82" s="1">
        <f t="shared" si="7"/>
        <v>0</v>
      </c>
    </row>
    <row r="83" spans="1:4" x14ac:dyDescent="0.3">
      <c r="A83" s="1">
        <f t="shared" si="8"/>
        <v>1.3663366336633671</v>
      </c>
      <c r="B83" s="1">
        <f t="shared" si="5"/>
        <v>3.3757522811104637</v>
      </c>
      <c r="C83" s="1">
        <f t="shared" si="6"/>
        <v>3.3757522811104637</v>
      </c>
      <c r="D83" s="1">
        <f t="shared" si="7"/>
        <v>0</v>
      </c>
    </row>
    <row r="84" spans="1:4" x14ac:dyDescent="0.3">
      <c r="A84" s="1">
        <f t="shared" si="8"/>
        <v>1.3861386138613869</v>
      </c>
      <c r="B84" s="1">
        <f t="shared" si="5"/>
        <v>3.3641040574645693</v>
      </c>
      <c r="C84" s="1">
        <f t="shared" si="6"/>
        <v>3.3641040574645693</v>
      </c>
      <c r="D84" s="1">
        <f t="shared" si="7"/>
        <v>0</v>
      </c>
    </row>
    <row r="85" spans="1:4" x14ac:dyDescent="0.3">
      <c r="A85" s="1">
        <f t="shared" si="8"/>
        <v>1.4059405940594067</v>
      </c>
      <c r="B85" s="1">
        <f t="shared" si="5"/>
        <v>3.3524558338186754</v>
      </c>
      <c r="C85" s="1">
        <f t="shared" si="6"/>
        <v>3.3524558338186754</v>
      </c>
      <c r="D85" s="1">
        <f t="shared" si="7"/>
        <v>0</v>
      </c>
    </row>
    <row r="86" spans="1:4" x14ac:dyDescent="0.3">
      <c r="A86" s="1">
        <f t="shared" si="8"/>
        <v>1.4257425742574266</v>
      </c>
      <c r="B86" s="1">
        <f t="shared" si="5"/>
        <v>3.3408076101727815</v>
      </c>
      <c r="C86" s="1">
        <f t="shared" si="6"/>
        <v>3.3408076101727815</v>
      </c>
      <c r="D86" s="1">
        <f t="shared" si="7"/>
        <v>0</v>
      </c>
    </row>
    <row r="87" spans="1:4" x14ac:dyDescent="0.3">
      <c r="A87" s="1">
        <f t="shared" si="8"/>
        <v>1.4455445544554464</v>
      </c>
      <c r="B87" s="1">
        <f t="shared" si="5"/>
        <v>3.3291593865268876</v>
      </c>
      <c r="C87" s="1">
        <f t="shared" si="6"/>
        <v>3.3291593865268876</v>
      </c>
      <c r="D87" s="1">
        <f t="shared" si="7"/>
        <v>0</v>
      </c>
    </row>
    <row r="88" spans="1:4" x14ac:dyDescent="0.3">
      <c r="A88" s="1">
        <f t="shared" si="8"/>
        <v>1.4653465346534662</v>
      </c>
      <c r="B88" s="1">
        <f t="shared" si="5"/>
        <v>3.3175111628809937</v>
      </c>
      <c r="C88" s="1">
        <f t="shared" si="6"/>
        <v>3.3175111628809937</v>
      </c>
      <c r="D88" s="1">
        <f t="shared" si="7"/>
        <v>0</v>
      </c>
    </row>
    <row r="89" spans="1:4" x14ac:dyDescent="0.3">
      <c r="A89" s="1">
        <f t="shared" si="8"/>
        <v>1.485148514851486</v>
      </c>
      <c r="B89" s="1">
        <f t="shared" si="5"/>
        <v>3.3058629392350998</v>
      </c>
      <c r="C89" s="1">
        <f t="shared" si="6"/>
        <v>3.3058629392350998</v>
      </c>
      <c r="D89" s="1">
        <f t="shared" si="7"/>
        <v>0</v>
      </c>
    </row>
    <row r="90" spans="1:4" x14ac:dyDescent="0.3">
      <c r="A90" s="1">
        <f t="shared" si="8"/>
        <v>1.5049504950495058</v>
      </c>
      <c r="B90" s="1">
        <f t="shared" si="5"/>
        <v>3.2942147155892054</v>
      </c>
      <c r="C90" s="1">
        <f t="shared" si="6"/>
        <v>3.2942147155892054</v>
      </c>
      <c r="D90" s="1">
        <f t="shared" si="7"/>
        <v>0</v>
      </c>
    </row>
    <row r="91" spans="1:4" x14ac:dyDescent="0.3">
      <c r="A91" s="1">
        <f t="shared" si="8"/>
        <v>1.5247524752475257</v>
      </c>
      <c r="B91" s="1">
        <f t="shared" si="5"/>
        <v>3.2825664919433115</v>
      </c>
      <c r="C91" s="1">
        <f t="shared" si="6"/>
        <v>3.2825664919433115</v>
      </c>
      <c r="D91" s="1">
        <f t="shared" si="7"/>
        <v>0</v>
      </c>
    </row>
    <row r="92" spans="1:4" x14ac:dyDescent="0.3">
      <c r="A92" s="1">
        <f t="shared" si="8"/>
        <v>1.5445544554455455</v>
      </c>
      <c r="B92" s="1">
        <f t="shared" si="5"/>
        <v>3.2709182682974176</v>
      </c>
      <c r="C92" s="1">
        <f t="shared" si="6"/>
        <v>3.2709182682974176</v>
      </c>
      <c r="D92" s="1">
        <f t="shared" si="7"/>
        <v>0</v>
      </c>
    </row>
    <row r="93" spans="1:4" x14ac:dyDescent="0.3">
      <c r="A93" s="1">
        <f t="shared" si="8"/>
        <v>1.5643564356435653</v>
      </c>
      <c r="B93" s="1">
        <f t="shared" si="5"/>
        <v>3.2592700446515233</v>
      </c>
      <c r="C93" s="1">
        <f t="shared" si="6"/>
        <v>3.2592700446515233</v>
      </c>
      <c r="D93" s="1">
        <f t="shared" si="7"/>
        <v>0</v>
      </c>
    </row>
    <row r="94" spans="1:4" x14ac:dyDescent="0.3">
      <c r="A94" s="1">
        <f t="shared" si="8"/>
        <v>1.5841584158415851</v>
      </c>
      <c r="B94" s="1">
        <f t="shared" si="5"/>
        <v>3.2476218210056294</v>
      </c>
      <c r="C94" s="1">
        <f t="shared" si="6"/>
        <v>3.2476218210056294</v>
      </c>
      <c r="D94" s="1">
        <f t="shared" si="7"/>
        <v>0</v>
      </c>
    </row>
    <row r="95" spans="1:4" x14ac:dyDescent="0.3">
      <c r="A95" s="1">
        <f t="shared" si="8"/>
        <v>1.6039603960396049</v>
      </c>
      <c r="B95" s="1">
        <f t="shared" si="5"/>
        <v>3.2359735973597354</v>
      </c>
      <c r="C95" s="1">
        <f t="shared" si="6"/>
        <v>3.2359735973597354</v>
      </c>
      <c r="D95" s="1">
        <f t="shared" si="7"/>
        <v>0</v>
      </c>
    </row>
    <row r="96" spans="1:4" x14ac:dyDescent="0.3">
      <c r="A96" s="1">
        <f t="shared" si="8"/>
        <v>1.6237623762376248</v>
      </c>
      <c r="B96" s="1">
        <f t="shared" si="5"/>
        <v>3.2243253737138415</v>
      </c>
      <c r="C96" s="1">
        <f t="shared" si="6"/>
        <v>3.2243253737138415</v>
      </c>
      <c r="D96" s="1">
        <f t="shared" si="7"/>
        <v>0</v>
      </c>
    </row>
    <row r="97" spans="1:4" x14ac:dyDescent="0.3">
      <c r="A97" s="1">
        <f t="shared" si="8"/>
        <v>1.6435643564356446</v>
      </c>
      <c r="B97" s="1">
        <f t="shared" si="5"/>
        <v>3.2126771500679476</v>
      </c>
      <c r="C97" s="1">
        <f t="shared" si="6"/>
        <v>3.2126771500679476</v>
      </c>
      <c r="D97" s="1">
        <f t="shared" si="7"/>
        <v>0</v>
      </c>
    </row>
    <row r="98" spans="1:4" x14ac:dyDescent="0.3">
      <c r="A98" s="1">
        <f t="shared" si="8"/>
        <v>1.6633663366336644</v>
      </c>
      <c r="B98" s="1">
        <f t="shared" si="5"/>
        <v>3.2010289264220533</v>
      </c>
      <c r="C98" s="1">
        <f t="shared" si="6"/>
        <v>3.2010289264220533</v>
      </c>
      <c r="D98" s="1">
        <f t="shared" si="7"/>
        <v>0</v>
      </c>
    </row>
    <row r="99" spans="1:4" x14ac:dyDescent="0.3">
      <c r="A99" s="1">
        <f t="shared" si="8"/>
        <v>1.6831683168316842</v>
      </c>
      <c r="B99" s="1">
        <f t="shared" si="5"/>
        <v>3.1893807027761594</v>
      </c>
      <c r="C99" s="1">
        <f t="shared" si="6"/>
        <v>3.1893807027761594</v>
      </c>
      <c r="D99" s="1">
        <f t="shared" si="7"/>
        <v>0</v>
      </c>
    </row>
    <row r="100" spans="1:4" x14ac:dyDescent="0.3">
      <c r="A100" s="1">
        <f t="shared" si="8"/>
        <v>1.702970297029704</v>
      </c>
      <c r="B100" s="1">
        <f t="shared" si="5"/>
        <v>3.1777324791302655</v>
      </c>
      <c r="C100" s="1">
        <f t="shared" si="6"/>
        <v>3.1777324791302655</v>
      </c>
      <c r="D100" s="1">
        <f t="shared" si="7"/>
        <v>0</v>
      </c>
    </row>
    <row r="101" spans="1:4" x14ac:dyDescent="0.3">
      <c r="A101" s="1">
        <f t="shared" si="8"/>
        <v>1.7227722772277239</v>
      </c>
      <c r="B101" s="1">
        <f t="shared" si="5"/>
        <v>3.1660842554843711</v>
      </c>
      <c r="C101" s="1">
        <f t="shared" si="6"/>
        <v>3.1660842554843711</v>
      </c>
      <c r="D101" s="1">
        <f t="shared" si="7"/>
        <v>0</v>
      </c>
    </row>
    <row r="102" spans="1:4" x14ac:dyDescent="0.3">
      <c r="A102" s="1">
        <f t="shared" si="8"/>
        <v>1.7425742574257437</v>
      </c>
      <c r="B102" s="1">
        <f t="shared" si="5"/>
        <v>3.1544360318384772</v>
      </c>
      <c r="C102" s="1">
        <f t="shared" si="6"/>
        <v>3.1544360318384772</v>
      </c>
      <c r="D102" s="1">
        <f t="shared" si="7"/>
        <v>0</v>
      </c>
    </row>
    <row r="103" spans="1:4" x14ac:dyDescent="0.3">
      <c r="A103" s="1">
        <f t="shared" si="8"/>
        <v>1.7623762376237635</v>
      </c>
      <c r="B103" s="1">
        <f t="shared" si="5"/>
        <v>3.1427878081925833</v>
      </c>
      <c r="C103" s="1">
        <f t="shared" si="6"/>
        <v>3.1427878081925833</v>
      </c>
      <c r="D103" s="1">
        <f t="shared" si="7"/>
        <v>0</v>
      </c>
    </row>
    <row r="104" spans="1:4" x14ac:dyDescent="0.3">
      <c r="A104" s="1">
        <f t="shared" si="8"/>
        <v>1.7821782178217833</v>
      </c>
      <c r="B104" s="1">
        <f t="shared" si="5"/>
        <v>3.1311395845466894</v>
      </c>
      <c r="C104" s="1">
        <f t="shared" si="6"/>
        <v>3.1311395845466894</v>
      </c>
      <c r="D104" s="1">
        <f t="shared" si="7"/>
        <v>0</v>
      </c>
    </row>
    <row r="105" spans="1:4" x14ac:dyDescent="0.3">
      <c r="A105" s="1">
        <f t="shared" si="8"/>
        <v>1.8019801980198031</v>
      </c>
      <c r="B105" s="1">
        <f t="shared" si="5"/>
        <v>3.1194913609007955</v>
      </c>
      <c r="C105" s="1">
        <f t="shared" si="6"/>
        <v>3.1194913609007955</v>
      </c>
      <c r="D105" s="1">
        <f t="shared" si="7"/>
        <v>0</v>
      </c>
    </row>
    <row r="106" spans="1:4" x14ac:dyDescent="0.3">
      <c r="A106" s="1">
        <f t="shared" si="8"/>
        <v>1.821782178217823</v>
      </c>
      <c r="B106" s="1">
        <f t="shared" si="5"/>
        <v>3.1078431372549016</v>
      </c>
      <c r="C106" s="1">
        <f t="shared" si="6"/>
        <v>3.1078431372549016</v>
      </c>
      <c r="D106" s="1">
        <f t="shared" si="7"/>
        <v>0</v>
      </c>
    </row>
    <row r="107" spans="1:4" x14ac:dyDescent="0.3">
      <c r="A107" s="1">
        <f t="shared" si="8"/>
        <v>1.8415841584158428</v>
      </c>
      <c r="B107" s="1">
        <f t="shared" si="5"/>
        <v>3.0961949136090072</v>
      </c>
      <c r="C107" s="1">
        <f t="shared" si="6"/>
        <v>3.0961949136090072</v>
      </c>
      <c r="D107" s="1">
        <f t="shared" si="7"/>
        <v>0</v>
      </c>
    </row>
    <row r="108" spans="1:4" x14ac:dyDescent="0.3">
      <c r="A108" s="1">
        <f t="shared" si="8"/>
        <v>1.8613861386138626</v>
      </c>
      <c r="B108" s="1">
        <f t="shared" si="5"/>
        <v>3.0845466899631133</v>
      </c>
      <c r="C108" s="1">
        <f t="shared" si="6"/>
        <v>3.0845466899631133</v>
      </c>
      <c r="D108" s="1">
        <f t="shared" si="7"/>
        <v>0</v>
      </c>
    </row>
    <row r="109" spans="1:4" x14ac:dyDescent="0.3">
      <c r="A109" s="1">
        <f t="shared" si="8"/>
        <v>1.8811881188118824</v>
      </c>
      <c r="B109" s="1">
        <f t="shared" si="5"/>
        <v>3.0728984663172194</v>
      </c>
      <c r="C109" s="1">
        <f t="shared" si="6"/>
        <v>3.0728984663172194</v>
      </c>
      <c r="D109" s="1">
        <f t="shared" si="7"/>
        <v>0</v>
      </c>
    </row>
    <row r="110" spans="1:4" x14ac:dyDescent="0.3">
      <c r="A110" s="1">
        <f t="shared" si="8"/>
        <v>1.9009900990099022</v>
      </c>
      <c r="B110" s="1">
        <f t="shared" si="5"/>
        <v>3.0612502426713251</v>
      </c>
      <c r="C110" s="1">
        <f t="shared" si="6"/>
        <v>3.0612502426713251</v>
      </c>
      <c r="D110" s="1">
        <f t="shared" si="7"/>
        <v>0</v>
      </c>
    </row>
    <row r="111" spans="1:4" x14ac:dyDescent="0.3">
      <c r="A111" s="1">
        <f t="shared" si="8"/>
        <v>1.9207920792079221</v>
      </c>
      <c r="B111" s="1">
        <f t="shared" si="5"/>
        <v>3.0496020190254312</v>
      </c>
      <c r="C111" s="1">
        <f t="shared" si="6"/>
        <v>3.0496020190254312</v>
      </c>
      <c r="D111" s="1">
        <f t="shared" si="7"/>
        <v>0</v>
      </c>
    </row>
    <row r="112" spans="1:4" x14ac:dyDescent="0.3">
      <c r="A112" s="1">
        <f t="shared" si="8"/>
        <v>1.9405940594059419</v>
      </c>
      <c r="B112" s="1">
        <f t="shared" si="5"/>
        <v>3.0379537953795372</v>
      </c>
      <c r="C112" s="1">
        <f t="shared" si="6"/>
        <v>3.0379537953795372</v>
      </c>
      <c r="D112" s="1">
        <f t="shared" si="7"/>
        <v>0</v>
      </c>
    </row>
    <row r="113" spans="1:4" x14ac:dyDescent="0.3">
      <c r="A113" s="1">
        <f t="shared" ref="A113:A144" si="9">A112+$A$15</f>
        <v>1.9603960396039617</v>
      </c>
      <c r="B113" s="1">
        <f t="shared" si="5"/>
        <v>3.0263055717336433</v>
      </c>
      <c r="C113" s="1">
        <f t="shared" si="6"/>
        <v>3.0263055717336433</v>
      </c>
      <c r="D113" s="1">
        <f t="shared" si="7"/>
        <v>0</v>
      </c>
    </row>
    <row r="114" spans="1:4" x14ac:dyDescent="0.3">
      <c r="A114" s="1">
        <f t="shared" si="9"/>
        <v>1.9801980198019815</v>
      </c>
      <c r="B114" s="1">
        <f t="shared" si="5"/>
        <v>3.0146573480877539</v>
      </c>
      <c r="C114" s="1">
        <f t="shared" si="6"/>
        <v>3.0146573480877539</v>
      </c>
      <c r="D114" s="1">
        <f t="shared" si="7"/>
        <v>0</v>
      </c>
    </row>
    <row r="115" spans="1:4" x14ac:dyDescent="0.3">
      <c r="A115" s="1">
        <f t="shared" si="9"/>
        <v>2.0000000000000013</v>
      </c>
      <c r="B115" s="1">
        <f t="shared" si="5"/>
        <v>3.0728984663172239</v>
      </c>
      <c r="C115" s="1">
        <f t="shared" si="6"/>
        <v>3.0728984663172239</v>
      </c>
      <c r="D115" s="1">
        <f t="shared" si="7"/>
        <v>1.75</v>
      </c>
    </row>
    <row r="116" spans="1:4" x14ac:dyDescent="0.3">
      <c r="A116" s="1">
        <f t="shared" si="9"/>
        <v>2.0198019801980212</v>
      </c>
      <c r="B116" s="1">
        <f t="shared" si="5"/>
        <v>3.1311395845466938</v>
      </c>
      <c r="C116" s="1">
        <f t="shared" si="6"/>
        <v>3.1311395845466938</v>
      </c>
      <c r="D116" s="1">
        <f t="shared" si="7"/>
        <v>1.75</v>
      </c>
    </row>
    <row r="117" spans="1:4" x14ac:dyDescent="0.3">
      <c r="A117" s="1">
        <f t="shared" si="9"/>
        <v>2.039603960396041</v>
      </c>
      <c r="B117" s="1">
        <f t="shared" si="5"/>
        <v>3.1893807027761638</v>
      </c>
      <c r="C117" s="1">
        <f t="shared" si="6"/>
        <v>3.1893807027761638</v>
      </c>
      <c r="D117" s="1">
        <f t="shared" si="7"/>
        <v>1.75</v>
      </c>
    </row>
    <row r="118" spans="1:4" x14ac:dyDescent="0.3">
      <c r="A118" s="1">
        <f t="shared" si="9"/>
        <v>2.0594059405940608</v>
      </c>
      <c r="B118" s="1">
        <f t="shared" si="5"/>
        <v>3.2476218210056342</v>
      </c>
      <c r="C118" s="1">
        <f t="shared" si="6"/>
        <v>3.2476218210056342</v>
      </c>
      <c r="D118" s="1">
        <f t="shared" si="7"/>
        <v>1.75</v>
      </c>
    </row>
    <row r="119" spans="1:4" x14ac:dyDescent="0.3">
      <c r="A119" s="1">
        <f t="shared" si="9"/>
        <v>2.0792079207920806</v>
      </c>
      <c r="B119" s="1">
        <f t="shared" si="5"/>
        <v>3.3058629392351042</v>
      </c>
      <c r="C119" s="1">
        <f t="shared" si="6"/>
        <v>3.3058629392351042</v>
      </c>
      <c r="D119" s="1">
        <f t="shared" si="7"/>
        <v>1.75</v>
      </c>
    </row>
    <row r="120" spans="1:4" x14ac:dyDescent="0.3">
      <c r="A120" s="1">
        <f t="shared" si="9"/>
        <v>2.0990099009901004</v>
      </c>
      <c r="B120" s="1">
        <f t="shared" si="5"/>
        <v>3.3641040574645742</v>
      </c>
      <c r="C120" s="1">
        <f t="shared" si="6"/>
        <v>3.3641040574645742</v>
      </c>
      <c r="D120" s="1">
        <f t="shared" si="7"/>
        <v>1.75</v>
      </c>
    </row>
    <row r="121" spans="1:4" x14ac:dyDescent="0.3">
      <c r="A121" s="1">
        <f t="shared" si="9"/>
        <v>2.1188118811881202</v>
      </c>
      <c r="B121" s="1">
        <f t="shared" si="5"/>
        <v>3.4223451756940442</v>
      </c>
      <c r="C121" s="1">
        <f t="shared" si="6"/>
        <v>3.4223451756940442</v>
      </c>
      <c r="D121" s="1">
        <f t="shared" si="7"/>
        <v>1.75</v>
      </c>
    </row>
    <row r="122" spans="1:4" x14ac:dyDescent="0.3">
      <c r="A122" s="1">
        <f t="shared" si="9"/>
        <v>2.1386138613861401</v>
      </c>
      <c r="B122" s="1">
        <f t="shared" si="5"/>
        <v>3.4805862939235142</v>
      </c>
      <c r="C122" s="1">
        <f t="shared" si="6"/>
        <v>3.4805862939235142</v>
      </c>
      <c r="D122" s="1">
        <f t="shared" si="7"/>
        <v>1.75</v>
      </c>
    </row>
    <row r="123" spans="1:4" x14ac:dyDescent="0.3">
      <c r="A123" s="1">
        <f t="shared" si="9"/>
        <v>2.1584158415841599</v>
      </c>
      <c r="B123" s="1">
        <f t="shared" si="5"/>
        <v>3.5388274121529841</v>
      </c>
      <c r="C123" s="1">
        <f t="shared" si="6"/>
        <v>3.5388274121529841</v>
      </c>
      <c r="D123" s="1">
        <f t="shared" si="7"/>
        <v>1.75</v>
      </c>
    </row>
    <row r="124" spans="1:4" x14ac:dyDescent="0.3">
      <c r="A124" s="1">
        <f t="shared" si="9"/>
        <v>2.1782178217821797</v>
      </c>
      <c r="B124" s="1">
        <f t="shared" si="5"/>
        <v>3.5970685303824546</v>
      </c>
      <c r="C124" s="1">
        <f t="shared" si="6"/>
        <v>3.5970685303824546</v>
      </c>
      <c r="D124" s="1">
        <f t="shared" si="7"/>
        <v>1.75</v>
      </c>
    </row>
    <row r="125" spans="1:4" x14ac:dyDescent="0.3">
      <c r="A125" s="1">
        <f t="shared" si="9"/>
        <v>2.1980198019801995</v>
      </c>
      <c r="B125" s="1">
        <f t="shared" si="5"/>
        <v>3.6553096486119245</v>
      </c>
      <c r="C125" s="1">
        <f t="shared" si="6"/>
        <v>3.6553096486119245</v>
      </c>
      <c r="D125" s="1">
        <f t="shared" si="7"/>
        <v>1.75</v>
      </c>
    </row>
    <row r="126" spans="1:4" x14ac:dyDescent="0.3">
      <c r="A126" s="1">
        <f t="shared" si="9"/>
        <v>2.2178217821782193</v>
      </c>
      <c r="B126" s="1">
        <f t="shared" si="5"/>
        <v>3.7135507668413945</v>
      </c>
      <c r="C126" s="1">
        <f t="shared" si="6"/>
        <v>3.7135507668413945</v>
      </c>
      <c r="D126" s="1">
        <f t="shared" si="7"/>
        <v>1.75</v>
      </c>
    </row>
    <row r="127" spans="1:4" x14ac:dyDescent="0.3">
      <c r="A127" s="1">
        <f t="shared" si="9"/>
        <v>2.2376237623762392</v>
      </c>
      <c r="B127" s="1">
        <f t="shared" si="5"/>
        <v>3.7717918850708645</v>
      </c>
      <c r="C127" s="1">
        <f t="shared" si="6"/>
        <v>3.7717918850708645</v>
      </c>
      <c r="D127" s="1">
        <f t="shared" si="7"/>
        <v>1.75</v>
      </c>
    </row>
    <row r="128" spans="1:4" x14ac:dyDescent="0.3">
      <c r="A128" s="1">
        <f t="shared" si="9"/>
        <v>2.257425742574259</v>
      </c>
      <c r="B128" s="1">
        <f t="shared" si="5"/>
        <v>3.8300330033003345</v>
      </c>
      <c r="C128" s="1">
        <f t="shared" si="6"/>
        <v>3.8300330033003345</v>
      </c>
      <c r="D128" s="1">
        <f t="shared" si="7"/>
        <v>1.75</v>
      </c>
    </row>
    <row r="129" spans="1:4" x14ac:dyDescent="0.3">
      <c r="A129" s="1">
        <f t="shared" si="9"/>
        <v>2.2772277227722788</v>
      </c>
      <c r="B129" s="1">
        <f t="shared" si="5"/>
        <v>3.8882741215298049</v>
      </c>
      <c r="C129" s="1">
        <f t="shared" si="6"/>
        <v>3.8882741215298049</v>
      </c>
      <c r="D129" s="1">
        <f t="shared" si="7"/>
        <v>1.75</v>
      </c>
    </row>
    <row r="130" spans="1:4" x14ac:dyDescent="0.3">
      <c r="A130" s="1">
        <f t="shared" si="9"/>
        <v>2.2970297029702986</v>
      </c>
      <c r="B130" s="1">
        <f t="shared" si="5"/>
        <v>3.9465152397592749</v>
      </c>
      <c r="C130" s="1">
        <f t="shared" si="6"/>
        <v>3.9465152397592749</v>
      </c>
      <c r="D130" s="1">
        <f t="shared" si="7"/>
        <v>1.75</v>
      </c>
    </row>
    <row r="131" spans="1:4" x14ac:dyDescent="0.3">
      <c r="A131" s="1">
        <f t="shared" si="9"/>
        <v>2.3168316831683184</v>
      </c>
      <c r="B131" s="1">
        <f t="shared" si="5"/>
        <v>3.9814599106969513</v>
      </c>
      <c r="C131" s="1">
        <f t="shared" si="6"/>
        <v>3.9814599106969513</v>
      </c>
      <c r="D131" s="1">
        <f t="shared" si="7"/>
        <v>1.75</v>
      </c>
    </row>
    <row r="132" spans="1:4" x14ac:dyDescent="0.3">
      <c r="A132" s="1">
        <f t="shared" si="9"/>
        <v>2.3366336633663383</v>
      </c>
      <c r="B132" s="1">
        <f t="shared" si="5"/>
        <v>3.9698116870510574</v>
      </c>
      <c r="C132" s="1">
        <f t="shared" si="6"/>
        <v>3.9698116870510574</v>
      </c>
      <c r="D132" s="1">
        <f t="shared" si="7"/>
        <v>0</v>
      </c>
    </row>
    <row r="133" spans="1:4" x14ac:dyDescent="0.3">
      <c r="A133" s="1">
        <f t="shared" si="9"/>
        <v>2.3564356435643581</v>
      </c>
      <c r="B133" s="1">
        <f t="shared" si="5"/>
        <v>3.958163463405163</v>
      </c>
      <c r="C133" s="1">
        <f t="shared" si="6"/>
        <v>3.958163463405163</v>
      </c>
      <c r="D133" s="1">
        <f t="shared" si="7"/>
        <v>0</v>
      </c>
    </row>
    <row r="134" spans="1:4" x14ac:dyDescent="0.3">
      <c r="A134" s="1">
        <f t="shared" si="9"/>
        <v>2.3762376237623779</v>
      </c>
      <c r="B134" s="1">
        <f t="shared" si="5"/>
        <v>3.9465152397592691</v>
      </c>
      <c r="C134" s="1">
        <f t="shared" si="6"/>
        <v>3.9465152397592691</v>
      </c>
      <c r="D134" s="1">
        <f t="shared" si="7"/>
        <v>0</v>
      </c>
    </row>
    <row r="135" spans="1:4" x14ac:dyDescent="0.3">
      <c r="A135" s="1">
        <f t="shared" si="9"/>
        <v>2.3960396039603977</v>
      </c>
      <c r="B135" s="1">
        <f t="shared" si="5"/>
        <v>3.9348670161133752</v>
      </c>
      <c r="C135" s="1">
        <f t="shared" si="6"/>
        <v>3.9348670161133752</v>
      </c>
      <c r="D135" s="1">
        <f t="shared" si="7"/>
        <v>0</v>
      </c>
    </row>
    <row r="136" spans="1:4" x14ac:dyDescent="0.3">
      <c r="A136" s="1">
        <f t="shared" si="9"/>
        <v>2.4158415841584175</v>
      </c>
      <c r="B136" s="1">
        <f t="shared" si="5"/>
        <v>3.9232187924674813</v>
      </c>
      <c r="C136" s="1">
        <f t="shared" si="6"/>
        <v>3.9232187924674813</v>
      </c>
      <c r="D136" s="1">
        <f t="shared" si="7"/>
        <v>0</v>
      </c>
    </row>
    <row r="137" spans="1:4" x14ac:dyDescent="0.3">
      <c r="A137" s="1">
        <f t="shared" si="9"/>
        <v>2.4356435643564374</v>
      </c>
      <c r="B137" s="1">
        <f t="shared" si="5"/>
        <v>3.9115705688215869</v>
      </c>
      <c r="C137" s="1">
        <f t="shared" si="6"/>
        <v>3.9115705688215869</v>
      </c>
      <c r="D137" s="1">
        <f t="shared" si="7"/>
        <v>0</v>
      </c>
    </row>
    <row r="138" spans="1:4" x14ac:dyDescent="0.3">
      <c r="A138" s="1">
        <f t="shared" si="9"/>
        <v>2.4554455445544572</v>
      </c>
      <c r="B138" s="1">
        <f t="shared" si="5"/>
        <v>3.899922345175693</v>
      </c>
      <c r="C138" s="1">
        <f t="shared" si="6"/>
        <v>3.899922345175693</v>
      </c>
      <c r="D138" s="1">
        <f t="shared" si="7"/>
        <v>0</v>
      </c>
    </row>
    <row r="139" spans="1:4" x14ac:dyDescent="0.3">
      <c r="A139" s="1">
        <f t="shared" si="9"/>
        <v>2.475247524752477</v>
      </c>
      <c r="B139" s="1">
        <f t="shared" si="5"/>
        <v>3.8882741215297991</v>
      </c>
      <c r="C139" s="1">
        <f t="shared" si="6"/>
        <v>3.8882741215297991</v>
      </c>
      <c r="D139" s="1">
        <f t="shared" si="7"/>
        <v>0</v>
      </c>
    </row>
    <row r="140" spans="1:4" x14ac:dyDescent="0.3">
      <c r="A140" s="1">
        <f t="shared" si="9"/>
        <v>2.4950495049504968</v>
      </c>
      <c r="B140" s="1">
        <f t="shared" si="5"/>
        <v>3.8766258978839052</v>
      </c>
      <c r="C140" s="1">
        <f t="shared" si="6"/>
        <v>3.8766258978839052</v>
      </c>
      <c r="D140" s="1">
        <f t="shared" si="7"/>
        <v>0</v>
      </c>
    </row>
    <row r="141" spans="1:4" x14ac:dyDescent="0.3">
      <c r="A141" s="1">
        <f t="shared" si="9"/>
        <v>2.5148514851485166</v>
      </c>
      <c r="B141" s="1">
        <f t="shared" si="5"/>
        <v>3.8649776742380109</v>
      </c>
      <c r="C141" s="1">
        <f t="shared" si="6"/>
        <v>3.8649776742380109</v>
      </c>
      <c r="D141" s="1">
        <f t="shared" si="7"/>
        <v>0</v>
      </c>
    </row>
    <row r="142" spans="1:4" x14ac:dyDescent="0.3">
      <c r="A142" s="1">
        <f t="shared" si="9"/>
        <v>2.5346534653465365</v>
      </c>
      <c r="B142" s="1">
        <f t="shared" ref="B142:B205" si="10">IF(MOD(A142,$F$3)&lt;=$F$5,$F$19 + $F$21 * MOD(A142,$F$3),$F$20 + $F$22 * (MOD(A142,$F$3)-$F$5))</f>
        <v>3.853329450592117</v>
      </c>
      <c r="C142" s="1">
        <f t="shared" si="6"/>
        <v>3.853329450592117</v>
      </c>
      <c r="D142" s="1">
        <f t="shared" si="7"/>
        <v>0</v>
      </c>
    </row>
    <row r="143" spans="1:4" x14ac:dyDescent="0.3">
      <c r="A143" s="1">
        <f t="shared" si="9"/>
        <v>2.5544554455445563</v>
      </c>
      <c r="B143" s="1">
        <f t="shared" si="10"/>
        <v>3.841681226946223</v>
      </c>
      <c r="C143" s="1">
        <f t="shared" ref="C143:C206" si="11">IF(B143&gt;=0,B143,0)</f>
        <v>3.841681226946223</v>
      </c>
      <c r="D143" s="1">
        <f t="shared" ref="D143:D206" si="12">IF(B142&lt;0, 0, IF(MOD(A142,$F$3)&lt;$F$3*$F$4/100, $B$4/2, 0))</f>
        <v>0</v>
      </c>
    </row>
    <row r="144" spans="1:4" x14ac:dyDescent="0.3">
      <c r="A144" s="1">
        <f t="shared" si="9"/>
        <v>2.5742574257425761</v>
      </c>
      <c r="B144" s="1">
        <f t="shared" si="10"/>
        <v>3.8300330033003291</v>
      </c>
      <c r="C144" s="1">
        <f t="shared" si="11"/>
        <v>3.8300330033003291</v>
      </c>
      <c r="D144" s="1">
        <f t="shared" si="12"/>
        <v>0</v>
      </c>
    </row>
    <row r="145" spans="1:4" x14ac:dyDescent="0.3">
      <c r="A145" s="1">
        <f t="shared" ref="A145:A176" si="13">A144+$A$15</f>
        <v>2.5940594059405959</v>
      </c>
      <c r="B145" s="1">
        <f t="shared" si="10"/>
        <v>3.8183847796544352</v>
      </c>
      <c r="C145" s="1">
        <f t="shared" si="11"/>
        <v>3.8183847796544352</v>
      </c>
      <c r="D145" s="1">
        <f t="shared" si="12"/>
        <v>0</v>
      </c>
    </row>
    <row r="146" spans="1:4" x14ac:dyDescent="0.3">
      <c r="A146" s="1">
        <f t="shared" si="13"/>
        <v>2.6138613861386157</v>
      </c>
      <c r="B146" s="1">
        <f t="shared" si="10"/>
        <v>3.8067365560085409</v>
      </c>
      <c r="C146" s="1">
        <f t="shared" si="11"/>
        <v>3.8067365560085409</v>
      </c>
      <c r="D146" s="1">
        <f t="shared" si="12"/>
        <v>0</v>
      </c>
    </row>
    <row r="147" spans="1:4" x14ac:dyDescent="0.3">
      <c r="A147" s="1">
        <f t="shared" si="13"/>
        <v>2.6336633663366356</v>
      </c>
      <c r="B147" s="1">
        <f t="shared" si="10"/>
        <v>3.795088332362647</v>
      </c>
      <c r="C147" s="1">
        <f t="shared" si="11"/>
        <v>3.795088332362647</v>
      </c>
      <c r="D147" s="1">
        <f t="shared" si="12"/>
        <v>0</v>
      </c>
    </row>
    <row r="148" spans="1:4" x14ac:dyDescent="0.3">
      <c r="A148" s="1">
        <f t="shared" si="13"/>
        <v>2.6534653465346554</v>
      </c>
      <c r="B148" s="1">
        <f t="shared" si="10"/>
        <v>3.7834401087167531</v>
      </c>
      <c r="C148" s="1">
        <f t="shared" si="11"/>
        <v>3.7834401087167531</v>
      </c>
      <c r="D148" s="1">
        <f t="shared" si="12"/>
        <v>0</v>
      </c>
    </row>
    <row r="149" spans="1:4" x14ac:dyDescent="0.3">
      <c r="A149" s="1">
        <f t="shared" si="13"/>
        <v>2.6732673267326752</v>
      </c>
      <c r="B149" s="1">
        <f t="shared" si="10"/>
        <v>3.7717918850708592</v>
      </c>
      <c r="C149" s="1">
        <f t="shared" si="11"/>
        <v>3.7717918850708592</v>
      </c>
      <c r="D149" s="1">
        <f t="shared" si="12"/>
        <v>0</v>
      </c>
    </row>
    <row r="150" spans="1:4" x14ac:dyDescent="0.3">
      <c r="A150" s="1">
        <f t="shared" si="13"/>
        <v>2.693069306930695</v>
      </c>
      <c r="B150" s="1">
        <f t="shared" si="10"/>
        <v>3.7601436614249648</v>
      </c>
      <c r="C150" s="1">
        <f t="shared" si="11"/>
        <v>3.7601436614249648</v>
      </c>
      <c r="D150" s="1">
        <f t="shared" si="12"/>
        <v>0</v>
      </c>
    </row>
    <row r="151" spans="1:4" x14ac:dyDescent="0.3">
      <c r="A151" s="1">
        <f t="shared" si="13"/>
        <v>2.7128712871287148</v>
      </c>
      <c r="B151" s="1">
        <f t="shared" si="10"/>
        <v>3.7484954377790709</v>
      </c>
      <c r="C151" s="1">
        <f t="shared" si="11"/>
        <v>3.7484954377790709</v>
      </c>
      <c r="D151" s="1">
        <f t="shared" si="12"/>
        <v>0</v>
      </c>
    </row>
    <row r="152" spans="1:4" x14ac:dyDescent="0.3">
      <c r="A152" s="1">
        <f t="shared" si="13"/>
        <v>2.7326732673267347</v>
      </c>
      <c r="B152" s="1">
        <f t="shared" si="10"/>
        <v>3.736847214133177</v>
      </c>
      <c r="C152" s="1">
        <f t="shared" si="11"/>
        <v>3.736847214133177</v>
      </c>
      <c r="D152" s="1">
        <f t="shared" si="12"/>
        <v>0</v>
      </c>
    </row>
    <row r="153" spans="1:4" x14ac:dyDescent="0.3">
      <c r="A153" s="1">
        <f t="shared" si="13"/>
        <v>2.7524752475247545</v>
      </c>
      <c r="B153" s="1">
        <f t="shared" si="10"/>
        <v>3.7251989904872831</v>
      </c>
      <c r="C153" s="1">
        <f t="shared" si="11"/>
        <v>3.7251989904872831</v>
      </c>
      <c r="D153" s="1">
        <f t="shared" si="12"/>
        <v>0</v>
      </c>
    </row>
    <row r="154" spans="1:4" x14ac:dyDescent="0.3">
      <c r="A154" s="1">
        <f t="shared" si="13"/>
        <v>2.7722772277227743</v>
      </c>
      <c r="B154" s="1">
        <f t="shared" si="10"/>
        <v>3.7135507668413887</v>
      </c>
      <c r="C154" s="1">
        <f t="shared" si="11"/>
        <v>3.7135507668413887</v>
      </c>
      <c r="D154" s="1">
        <f t="shared" si="12"/>
        <v>0</v>
      </c>
    </row>
    <row r="155" spans="1:4" x14ac:dyDescent="0.3">
      <c r="A155" s="1">
        <f t="shared" si="13"/>
        <v>2.7920792079207941</v>
      </c>
      <c r="B155" s="1">
        <f t="shared" si="10"/>
        <v>3.7019025431954948</v>
      </c>
      <c r="C155" s="1">
        <f t="shared" si="11"/>
        <v>3.7019025431954948</v>
      </c>
      <c r="D155" s="1">
        <f t="shared" si="12"/>
        <v>0</v>
      </c>
    </row>
    <row r="156" spans="1:4" x14ac:dyDescent="0.3">
      <c r="A156" s="1">
        <f t="shared" si="13"/>
        <v>2.8118811881188139</v>
      </c>
      <c r="B156" s="1">
        <f t="shared" si="10"/>
        <v>3.6902543195496009</v>
      </c>
      <c r="C156" s="1">
        <f t="shared" si="11"/>
        <v>3.6902543195496009</v>
      </c>
      <c r="D156" s="1">
        <f t="shared" si="12"/>
        <v>0</v>
      </c>
    </row>
    <row r="157" spans="1:4" x14ac:dyDescent="0.3">
      <c r="A157" s="1">
        <f t="shared" si="13"/>
        <v>2.8316831683168338</v>
      </c>
      <c r="B157" s="1">
        <f t="shared" si="10"/>
        <v>3.678606095903707</v>
      </c>
      <c r="C157" s="1">
        <f t="shared" si="11"/>
        <v>3.678606095903707</v>
      </c>
      <c r="D157" s="1">
        <f t="shared" si="12"/>
        <v>0</v>
      </c>
    </row>
    <row r="158" spans="1:4" x14ac:dyDescent="0.3">
      <c r="A158" s="1">
        <f t="shared" si="13"/>
        <v>2.8514851485148536</v>
      </c>
      <c r="B158" s="1">
        <f t="shared" si="10"/>
        <v>3.6669578722578127</v>
      </c>
      <c r="C158" s="1">
        <f t="shared" si="11"/>
        <v>3.6669578722578127</v>
      </c>
      <c r="D158" s="1">
        <f t="shared" si="12"/>
        <v>0</v>
      </c>
    </row>
    <row r="159" spans="1:4" x14ac:dyDescent="0.3">
      <c r="A159" s="1">
        <f t="shared" si="13"/>
        <v>2.8712871287128734</v>
      </c>
      <c r="B159" s="1">
        <f t="shared" si="10"/>
        <v>3.6553096486119188</v>
      </c>
      <c r="C159" s="1">
        <f t="shared" si="11"/>
        <v>3.6553096486119188</v>
      </c>
      <c r="D159" s="1">
        <f t="shared" si="12"/>
        <v>0</v>
      </c>
    </row>
    <row r="160" spans="1:4" x14ac:dyDescent="0.3">
      <c r="A160" s="1">
        <f t="shared" si="13"/>
        <v>2.8910891089108932</v>
      </c>
      <c r="B160" s="1">
        <f t="shared" si="10"/>
        <v>3.6436614249660249</v>
      </c>
      <c r="C160" s="1">
        <f t="shared" si="11"/>
        <v>3.6436614249660249</v>
      </c>
      <c r="D160" s="1">
        <f t="shared" si="12"/>
        <v>0</v>
      </c>
    </row>
    <row r="161" spans="1:4" x14ac:dyDescent="0.3">
      <c r="A161" s="1">
        <f t="shared" si="13"/>
        <v>2.910891089108913</v>
      </c>
      <c r="B161" s="1">
        <f t="shared" si="10"/>
        <v>3.6320132013201309</v>
      </c>
      <c r="C161" s="1">
        <f t="shared" si="11"/>
        <v>3.6320132013201309</v>
      </c>
      <c r="D161" s="1">
        <f t="shared" si="12"/>
        <v>0</v>
      </c>
    </row>
    <row r="162" spans="1:4" x14ac:dyDescent="0.3">
      <c r="A162" s="1">
        <f t="shared" si="13"/>
        <v>2.9306930693069329</v>
      </c>
      <c r="B162" s="1">
        <f t="shared" si="10"/>
        <v>3.620364977674237</v>
      </c>
      <c r="C162" s="1">
        <f t="shared" si="11"/>
        <v>3.620364977674237</v>
      </c>
      <c r="D162" s="1">
        <f t="shared" si="12"/>
        <v>0</v>
      </c>
    </row>
    <row r="163" spans="1:4" x14ac:dyDescent="0.3">
      <c r="A163" s="1">
        <f t="shared" si="13"/>
        <v>2.9504950495049527</v>
      </c>
      <c r="B163" s="1">
        <f t="shared" si="10"/>
        <v>3.6087167540283427</v>
      </c>
      <c r="C163" s="1">
        <f t="shared" si="11"/>
        <v>3.6087167540283427</v>
      </c>
      <c r="D163" s="1">
        <f t="shared" si="12"/>
        <v>0</v>
      </c>
    </row>
    <row r="164" spans="1:4" x14ac:dyDescent="0.3">
      <c r="A164" s="1">
        <f t="shared" si="13"/>
        <v>2.9702970297029725</v>
      </c>
      <c r="B164" s="1">
        <f t="shared" si="10"/>
        <v>3.5970685303824488</v>
      </c>
      <c r="C164" s="1">
        <f t="shared" si="11"/>
        <v>3.5970685303824488</v>
      </c>
      <c r="D164" s="1">
        <f t="shared" si="12"/>
        <v>0</v>
      </c>
    </row>
    <row r="165" spans="1:4" x14ac:dyDescent="0.3">
      <c r="A165" s="1">
        <f t="shared" si="13"/>
        <v>2.9900990099009923</v>
      </c>
      <c r="B165" s="1">
        <f t="shared" si="10"/>
        <v>3.5854203067365549</v>
      </c>
      <c r="C165" s="1">
        <f t="shared" si="11"/>
        <v>3.5854203067365549</v>
      </c>
      <c r="D165" s="1">
        <f t="shared" si="12"/>
        <v>0</v>
      </c>
    </row>
    <row r="166" spans="1:4" x14ac:dyDescent="0.3">
      <c r="A166" s="1">
        <f t="shared" si="13"/>
        <v>3.0099009900990121</v>
      </c>
      <c r="B166" s="1">
        <f t="shared" si="10"/>
        <v>3.5737720830906605</v>
      </c>
      <c r="C166" s="1">
        <f t="shared" si="11"/>
        <v>3.5737720830906605</v>
      </c>
      <c r="D166" s="1">
        <f t="shared" si="12"/>
        <v>0</v>
      </c>
    </row>
    <row r="167" spans="1:4" x14ac:dyDescent="0.3">
      <c r="A167" s="1">
        <f t="shared" si="13"/>
        <v>3.0297029702970319</v>
      </c>
      <c r="B167" s="1">
        <f t="shared" si="10"/>
        <v>3.5621238594447666</v>
      </c>
      <c r="C167" s="1">
        <f t="shared" si="11"/>
        <v>3.5621238594447666</v>
      </c>
      <c r="D167" s="1">
        <f t="shared" si="12"/>
        <v>0</v>
      </c>
    </row>
    <row r="168" spans="1:4" x14ac:dyDescent="0.3">
      <c r="A168" s="1">
        <f t="shared" si="13"/>
        <v>3.0495049504950518</v>
      </c>
      <c r="B168" s="1">
        <f t="shared" si="10"/>
        <v>3.5504756357988727</v>
      </c>
      <c r="C168" s="1">
        <f t="shared" si="11"/>
        <v>3.5504756357988727</v>
      </c>
      <c r="D168" s="1">
        <f t="shared" si="12"/>
        <v>0</v>
      </c>
    </row>
    <row r="169" spans="1:4" x14ac:dyDescent="0.3">
      <c r="A169" s="1">
        <f t="shared" si="13"/>
        <v>3.0693069306930716</v>
      </c>
      <c r="B169" s="1">
        <f t="shared" si="10"/>
        <v>3.5388274121529788</v>
      </c>
      <c r="C169" s="1">
        <f t="shared" si="11"/>
        <v>3.5388274121529788</v>
      </c>
      <c r="D169" s="1">
        <f t="shared" si="12"/>
        <v>0</v>
      </c>
    </row>
    <row r="170" spans="1:4" x14ac:dyDescent="0.3">
      <c r="A170" s="1">
        <f t="shared" si="13"/>
        <v>3.0891089108910914</v>
      </c>
      <c r="B170" s="1">
        <f t="shared" si="10"/>
        <v>3.5271791885070849</v>
      </c>
      <c r="C170" s="1">
        <f t="shared" si="11"/>
        <v>3.5271791885070849</v>
      </c>
      <c r="D170" s="1">
        <f t="shared" si="12"/>
        <v>0</v>
      </c>
    </row>
    <row r="171" spans="1:4" x14ac:dyDescent="0.3">
      <c r="A171" s="1">
        <f t="shared" si="13"/>
        <v>3.1089108910891112</v>
      </c>
      <c r="B171" s="1">
        <f t="shared" si="10"/>
        <v>3.5155309648611905</v>
      </c>
      <c r="C171" s="1">
        <f t="shared" si="11"/>
        <v>3.5155309648611905</v>
      </c>
      <c r="D171" s="1">
        <f t="shared" si="12"/>
        <v>0</v>
      </c>
    </row>
    <row r="172" spans="1:4" x14ac:dyDescent="0.3">
      <c r="A172" s="1">
        <f t="shared" si="13"/>
        <v>3.128712871287131</v>
      </c>
      <c r="B172" s="1">
        <f t="shared" si="10"/>
        <v>3.5038827412152966</v>
      </c>
      <c r="C172" s="1">
        <f t="shared" si="11"/>
        <v>3.5038827412152966</v>
      </c>
      <c r="D172" s="1">
        <f t="shared" si="12"/>
        <v>0</v>
      </c>
    </row>
    <row r="173" spans="1:4" x14ac:dyDescent="0.3">
      <c r="A173" s="1">
        <f t="shared" si="13"/>
        <v>3.1485148514851509</v>
      </c>
      <c r="B173" s="1">
        <f t="shared" si="10"/>
        <v>3.4922345175694027</v>
      </c>
      <c r="C173" s="1">
        <f t="shared" si="11"/>
        <v>3.4922345175694027</v>
      </c>
      <c r="D173" s="1">
        <f t="shared" si="12"/>
        <v>0</v>
      </c>
    </row>
    <row r="174" spans="1:4" x14ac:dyDescent="0.3">
      <c r="A174" s="1">
        <f t="shared" si="13"/>
        <v>3.1683168316831707</v>
      </c>
      <c r="B174" s="1">
        <f t="shared" si="10"/>
        <v>3.4805862939235084</v>
      </c>
      <c r="C174" s="1">
        <f t="shared" si="11"/>
        <v>3.4805862939235084</v>
      </c>
      <c r="D174" s="1">
        <f t="shared" si="12"/>
        <v>0</v>
      </c>
    </row>
    <row r="175" spans="1:4" x14ac:dyDescent="0.3">
      <c r="A175" s="1">
        <f t="shared" si="13"/>
        <v>3.1881188118811905</v>
      </c>
      <c r="B175" s="1">
        <f t="shared" si="10"/>
        <v>3.4689380702776145</v>
      </c>
      <c r="C175" s="1">
        <f t="shared" si="11"/>
        <v>3.4689380702776145</v>
      </c>
      <c r="D175" s="1">
        <f t="shared" si="12"/>
        <v>0</v>
      </c>
    </row>
    <row r="176" spans="1:4" x14ac:dyDescent="0.3">
      <c r="A176" s="1">
        <f t="shared" si="13"/>
        <v>3.2079207920792103</v>
      </c>
      <c r="B176" s="1">
        <f t="shared" si="10"/>
        <v>3.4572898466317206</v>
      </c>
      <c r="C176" s="1">
        <f t="shared" si="11"/>
        <v>3.4572898466317206</v>
      </c>
      <c r="D176" s="1">
        <f t="shared" si="12"/>
        <v>0</v>
      </c>
    </row>
    <row r="177" spans="1:4" x14ac:dyDescent="0.3">
      <c r="A177" s="1">
        <f t="shared" ref="A177:A208" si="14">A176+$A$15</f>
        <v>3.2277227722772301</v>
      </c>
      <c r="B177" s="1">
        <f t="shared" si="10"/>
        <v>3.4456416229858267</v>
      </c>
      <c r="C177" s="1">
        <f t="shared" si="11"/>
        <v>3.4456416229858267</v>
      </c>
      <c r="D177" s="1">
        <f t="shared" si="12"/>
        <v>0</v>
      </c>
    </row>
    <row r="178" spans="1:4" x14ac:dyDescent="0.3">
      <c r="A178" s="1">
        <f t="shared" si="14"/>
        <v>3.24752475247525</v>
      </c>
      <c r="B178" s="1">
        <f t="shared" si="10"/>
        <v>3.4339933993399328</v>
      </c>
      <c r="C178" s="1">
        <f t="shared" si="11"/>
        <v>3.4339933993399328</v>
      </c>
      <c r="D178" s="1">
        <f t="shared" si="12"/>
        <v>0</v>
      </c>
    </row>
    <row r="179" spans="1:4" x14ac:dyDescent="0.3">
      <c r="A179" s="1">
        <f t="shared" si="14"/>
        <v>3.2673267326732698</v>
      </c>
      <c r="B179" s="1">
        <f t="shared" si="10"/>
        <v>3.4223451756940388</v>
      </c>
      <c r="C179" s="1">
        <f t="shared" si="11"/>
        <v>3.4223451756940388</v>
      </c>
      <c r="D179" s="1">
        <f t="shared" si="12"/>
        <v>0</v>
      </c>
    </row>
    <row r="180" spans="1:4" x14ac:dyDescent="0.3">
      <c r="A180" s="1">
        <f t="shared" si="14"/>
        <v>3.2871287128712896</v>
      </c>
      <c r="B180" s="1">
        <f t="shared" si="10"/>
        <v>3.4106969520481445</v>
      </c>
      <c r="C180" s="1">
        <f t="shared" si="11"/>
        <v>3.4106969520481445</v>
      </c>
      <c r="D180" s="1">
        <f t="shared" si="12"/>
        <v>0</v>
      </c>
    </row>
    <row r="181" spans="1:4" x14ac:dyDescent="0.3">
      <c r="A181" s="1">
        <f t="shared" si="14"/>
        <v>3.3069306930693094</v>
      </c>
      <c r="B181" s="1">
        <f t="shared" si="10"/>
        <v>3.3990487284022506</v>
      </c>
      <c r="C181" s="1">
        <f t="shared" si="11"/>
        <v>3.3990487284022506</v>
      </c>
      <c r="D181" s="1">
        <f t="shared" si="12"/>
        <v>0</v>
      </c>
    </row>
    <row r="182" spans="1:4" x14ac:dyDescent="0.3">
      <c r="A182" s="1">
        <f t="shared" si="14"/>
        <v>3.3267326732673292</v>
      </c>
      <c r="B182" s="1">
        <f t="shared" si="10"/>
        <v>3.3874005047563567</v>
      </c>
      <c r="C182" s="1">
        <f t="shared" si="11"/>
        <v>3.3874005047563567</v>
      </c>
      <c r="D182" s="1">
        <f t="shared" si="12"/>
        <v>0</v>
      </c>
    </row>
    <row r="183" spans="1:4" x14ac:dyDescent="0.3">
      <c r="A183" s="1">
        <f t="shared" si="14"/>
        <v>3.3465346534653491</v>
      </c>
      <c r="B183" s="1">
        <f t="shared" si="10"/>
        <v>3.3757522811104623</v>
      </c>
      <c r="C183" s="1">
        <f t="shared" si="11"/>
        <v>3.3757522811104623</v>
      </c>
      <c r="D183" s="1">
        <f t="shared" si="12"/>
        <v>0</v>
      </c>
    </row>
    <row r="184" spans="1:4" x14ac:dyDescent="0.3">
      <c r="A184" s="1">
        <f t="shared" si="14"/>
        <v>3.3663366336633689</v>
      </c>
      <c r="B184" s="1">
        <f t="shared" si="10"/>
        <v>3.3641040574645684</v>
      </c>
      <c r="C184" s="1">
        <f t="shared" si="11"/>
        <v>3.3641040574645684</v>
      </c>
      <c r="D184" s="1">
        <f t="shared" si="12"/>
        <v>0</v>
      </c>
    </row>
    <row r="185" spans="1:4" x14ac:dyDescent="0.3">
      <c r="A185" s="1">
        <f t="shared" si="14"/>
        <v>3.3861386138613887</v>
      </c>
      <c r="B185" s="1">
        <f t="shared" si="10"/>
        <v>3.3524558338186745</v>
      </c>
      <c r="C185" s="1">
        <f t="shared" si="11"/>
        <v>3.3524558338186745</v>
      </c>
      <c r="D185" s="1">
        <f t="shared" si="12"/>
        <v>0</v>
      </c>
    </row>
    <row r="186" spans="1:4" x14ac:dyDescent="0.3">
      <c r="A186" s="1">
        <f t="shared" si="14"/>
        <v>3.4059405940594085</v>
      </c>
      <c r="B186" s="1">
        <f t="shared" si="10"/>
        <v>3.3408076101727806</v>
      </c>
      <c r="C186" s="1">
        <f t="shared" si="11"/>
        <v>3.3408076101727806</v>
      </c>
      <c r="D186" s="1">
        <f t="shared" si="12"/>
        <v>0</v>
      </c>
    </row>
    <row r="187" spans="1:4" x14ac:dyDescent="0.3">
      <c r="A187" s="1">
        <f t="shared" si="14"/>
        <v>3.4257425742574283</v>
      </c>
      <c r="B187" s="1">
        <f t="shared" si="10"/>
        <v>3.3291593865268867</v>
      </c>
      <c r="C187" s="1">
        <f t="shared" si="11"/>
        <v>3.3291593865268867</v>
      </c>
      <c r="D187" s="1">
        <f t="shared" si="12"/>
        <v>0</v>
      </c>
    </row>
    <row r="188" spans="1:4" x14ac:dyDescent="0.3">
      <c r="A188" s="1">
        <f t="shared" si="14"/>
        <v>3.4455445544554482</v>
      </c>
      <c r="B188" s="1">
        <f t="shared" si="10"/>
        <v>3.3175111628809923</v>
      </c>
      <c r="C188" s="1">
        <f t="shared" si="11"/>
        <v>3.3175111628809923</v>
      </c>
      <c r="D188" s="1">
        <f t="shared" si="12"/>
        <v>0</v>
      </c>
    </row>
    <row r="189" spans="1:4" x14ac:dyDescent="0.3">
      <c r="A189" s="1">
        <f t="shared" si="14"/>
        <v>3.465346534653468</v>
      </c>
      <c r="B189" s="1">
        <f t="shared" si="10"/>
        <v>3.3058629392350984</v>
      </c>
      <c r="C189" s="1">
        <f t="shared" si="11"/>
        <v>3.3058629392350984</v>
      </c>
      <c r="D189" s="1">
        <f t="shared" si="12"/>
        <v>0</v>
      </c>
    </row>
    <row r="190" spans="1:4" x14ac:dyDescent="0.3">
      <c r="A190" s="1">
        <f t="shared" si="14"/>
        <v>3.4851485148514878</v>
      </c>
      <c r="B190" s="1">
        <f t="shared" si="10"/>
        <v>3.2942147155892045</v>
      </c>
      <c r="C190" s="1">
        <f t="shared" si="11"/>
        <v>3.2942147155892045</v>
      </c>
      <c r="D190" s="1">
        <f t="shared" si="12"/>
        <v>0</v>
      </c>
    </row>
    <row r="191" spans="1:4" x14ac:dyDescent="0.3">
      <c r="A191" s="1">
        <f t="shared" si="14"/>
        <v>3.5049504950495076</v>
      </c>
      <c r="B191" s="1">
        <f t="shared" si="10"/>
        <v>3.2825664919433102</v>
      </c>
      <c r="C191" s="1">
        <f t="shared" si="11"/>
        <v>3.2825664919433102</v>
      </c>
      <c r="D191" s="1">
        <f t="shared" si="12"/>
        <v>0</v>
      </c>
    </row>
    <row r="192" spans="1:4" x14ac:dyDescent="0.3">
      <c r="A192" s="1">
        <f t="shared" si="14"/>
        <v>3.5247524752475274</v>
      </c>
      <c r="B192" s="1">
        <f t="shared" si="10"/>
        <v>3.2709182682974163</v>
      </c>
      <c r="C192" s="1">
        <f t="shared" si="11"/>
        <v>3.2709182682974163</v>
      </c>
      <c r="D192" s="1">
        <f t="shared" si="12"/>
        <v>0</v>
      </c>
    </row>
    <row r="193" spans="1:4" x14ac:dyDescent="0.3">
      <c r="A193" s="1">
        <f t="shared" si="14"/>
        <v>3.5445544554455473</v>
      </c>
      <c r="B193" s="1">
        <f t="shared" si="10"/>
        <v>3.2592700446515224</v>
      </c>
      <c r="C193" s="1">
        <f t="shared" si="11"/>
        <v>3.2592700446515224</v>
      </c>
      <c r="D193" s="1">
        <f t="shared" si="12"/>
        <v>0</v>
      </c>
    </row>
    <row r="194" spans="1:4" x14ac:dyDescent="0.3">
      <c r="A194" s="1">
        <f t="shared" si="14"/>
        <v>3.5643564356435671</v>
      </c>
      <c r="B194" s="1">
        <f t="shared" si="10"/>
        <v>3.2476218210056285</v>
      </c>
      <c r="C194" s="1">
        <f t="shared" si="11"/>
        <v>3.2476218210056285</v>
      </c>
      <c r="D194" s="1">
        <f t="shared" si="12"/>
        <v>0</v>
      </c>
    </row>
    <row r="195" spans="1:4" x14ac:dyDescent="0.3">
      <c r="A195" s="1">
        <f t="shared" si="14"/>
        <v>3.5841584158415869</v>
      </c>
      <c r="B195" s="1">
        <f t="shared" si="10"/>
        <v>3.2359735973597346</v>
      </c>
      <c r="C195" s="1">
        <f t="shared" si="11"/>
        <v>3.2359735973597346</v>
      </c>
      <c r="D195" s="1">
        <f t="shared" si="12"/>
        <v>0</v>
      </c>
    </row>
    <row r="196" spans="1:4" x14ac:dyDescent="0.3">
      <c r="A196" s="1">
        <f t="shared" si="14"/>
        <v>3.6039603960396067</v>
      </c>
      <c r="B196" s="1">
        <f t="shared" si="10"/>
        <v>3.2243253737138406</v>
      </c>
      <c r="C196" s="1">
        <f t="shared" si="11"/>
        <v>3.2243253737138406</v>
      </c>
      <c r="D196" s="1">
        <f t="shared" si="12"/>
        <v>0</v>
      </c>
    </row>
    <row r="197" spans="1:4" x14ac:dyDescent="0.3">
      <c r="A197" s="1">
        <f t="shared" si="14"/>
        <v>3.6237623762376265</v>
      </c>
      <c r="B197" s="1">
        <f t="shared" si="10"/>
        <v>3.2126771500679463</v>
      </c>
      <c r="C197" s="1">
        <f t="shared" si="11"/>
        <v>3.2126771500679463</v>
      </c>
      <c r="D197" s="1">
        <f t="shared" si="12"/>
        <v>0</v>
      </c>
    </row>
    <row r="198" spans="1:4" x14ac:dyDescent="0.3">
      <c r="A198" s="1">
        <f t="shared" si="14"/>
        <v>3.6435643564356464</v>
      </c>
      <c r="B198" s="1">
        <f t="shared" si="10"/>
        <v>3.2010289264220524</v>
      </c>
      <c r="C198" s="1">
        <f t="shared" si="11"/>
        <v>3.2010289264220524</v>
      </c>
      <c r="D198" s="1">
        <f t="shared" si="12"/>
        <v>0</v>
      </c>
    </row>
    <row r="199" spans="1:4" x14ac:dyDescent="0.3">
      <c r="A199" s="1">
        <f t="shared" si="14"/>
        <v>3.6633663366336662</v>
      </c>
      <c r="B199" s="1">
        <f t="shared" si="10"/>
        <v>3.1893807027761585</v>
      </c>
      <c r="C199" s="1">
        <f t="shared" si="11"/>
        <v>3.1893807027761585</v>
      </c>
      <c r="D199" s="1">
        <f t="shared" si="12"/>
        <v>0</v>
      </c>
    </row>
    <row r="200" spans="1:4" x14ac:dyDescent="0.3">
      <c r="A200" s="1">
        <f t="shared" si="14"/>
        <v>3.683168316831686</v>
      </c>
      <c r="B200" s="1">
        <f t="shared" si="10"/>
        <v>3.1777324791302641</v>
      </c>
      <c r="C200" s="1">
        <f t="shared" si="11"/>
        <v>3.1777324791302641</v>
      </c>
      <c r="D200" s="1">
        <f t="shared" si="12"/>
        <v>0</v>
      </c>
    </row>
    <row r="201" spans="1:4" x14ac:dyDescent="0.3">
      <c r="A201" s="1">
        <f t="shared" si="14"/>
        <v>3.7029702970297058</v>
      </c>
      <c r="B201" s="1">
        <f t="shared" si="10"/>
        <v>3.1660842554843702</v>
      </c>
      <c r="C201" s="1">
        <f t="shared" si="11"/>
        <v>3.1660842554843702</v>
      </c>
      <c r="D201" s="1">
        <f t="shared" si="12"/>
        <v>0</v>
      </c>
    </row>
    <row r="202" spans="1:4" x14ac:dyDescent="0.3">
      <c r="A202" s="1">
        <f t="shared" si="14"/>
        <v>3.7227722772277256</v>
      </c>
      <c r="B202" s="1">
        <f t="shared" si="10"/>
        <v>3.1544360318384763</v>
      </c>
      <c r="C202" s="1">
        <f t="shared" si="11"/>
        <v>3.1544360318384763</v>
      </c>
      <c r="D202" s="1">
        <f t="shared" si="12"/>
        <v>0</v>
      </c>
    </row>
    <row r="203" spans="1:4" x14ac:dyDescent="0.3">
      <c r="A203" s="1">
        <f t="shared" si="14"/>
        <v>3.7425742574257455</v>
      </c>
      <c r="B203" s="1">
        <f t="shared" si="10"/>
        <v>3.1427878081925824</v>
      </c>
      <c r="C203" s="1">
        <f t="shared" si="11"/>
        <v>3.1427878081925824</v>
      </c>
      <c r="D203" s="1">
        <f t="shared" si="12"/>
        <v>0</v>
      </c>
    </row>
    <row r="204" spans="1:4" x14ac:dyDescent="0.3">
      <c r="A204" s="1">
        <f t="shared" si="14"/>
        <v>3.7623762376237653</v>
      </c>
      <c r="B204" s="1">
        <f t="shared" si="10"/>
        <v>3.1311395845466885</v>
      </c>
      <c r="C204" s="1">
        <f t="shared" si="11"/>
        <v>3.1311395845466885</v>
      </c>
      <c r="D204" s="1">
        <f t="shared" si="12"/>
        <v>0</v>
      </c>
    </row>
    <row r="205" spans="1:4" x14ac:dyDescent="0.3">
      <c r="A205" s="1">
        <f t="shared" si="14"/>
        <v>3.7821782178217851</v>
      </c>
      <c r="B205" s="1">
        <f t="shared" si="10"/>
        <v>3.1194913609007942</v>
      </c>
      <c r="C205" s="1">
        <f t="shared" si="11"/>
        <v>3.1194913609007942</v>
      </c>
      <c r="D205" s="1">
        <f t="shared" si="12"/>
        <v>0</v>
      </c>
    </row>
    <row r="206" spans="1:4" x14ac:dyDescent="0.3">
      <c r="A206" s="1">
        <f t="shared" si="14"/>
        <v>3.8019801980198049</v>
      </c>
      <c r="B206" s="1">
        <f t="shared" ref="B206:B228" si="15">IF(MOD(A206,$F$3)&lt;=$F$5,$F$19 + $F$21 * MOD(A206,$F$3),$F$20 + $F$22 * (MOD(A206,$F$3)-$F$5))</f>
        <v>3.1078431372549002</v>
      </c>
      <c r="C206" s="1">
        <f t="shared" si="11"/>
        <v>3.1078431372549002</v>
      </c>
      <c r="D206" s="1">
        <f t="shared" si="12"/>
        <v>0</v>
      </c>
    </row>
    <row r="207" spans="1:4" x14ac:dyDescent="0.3">
      <c r="A207" s="1">
        <f t="shared" si="14"/>
        <v>3.8217821782178247</v>
      </c>
      <c r="B207" s="1">
        <f t="shared" si="15"/>
        <v>3.0961949136090063</v>
      </c>
      <c r="C207" s="1">
        <f t="shared" ref="C207:C228" si="16">IF(B207&gt;=0,B207,0)</f>
        <v>3.0961949136090063</v>
      </c>
      <c r="D207" s="1">
        <f t="shared" ref="D207:D229" si="17">IF(B206&lt;0, 0, IF(MOD(A206,$F$3)&lt;$F$3*$F$4/100, $B$4/2, 0))</f>
        <v>0</v>
      </c>
    </row>
    <row r="208" spans="1:4" x14ac:dyDescent="0.3">
      <c r="A208" s="1">
        <f t="shared" si="14"/>
        <v>3.8415841584158446</v>
      </c>
      <c r="B208" s="1">
        <f t="shared" si="15"/>
        <v>3.084546689963112</v>
      </c>
      <c r="C208" s="1">
        <f t="shared" si="16"/>
        <v>3.084546689963112</v>
      </c>
      <c r="D208" s="1">
        <f t="shared" si="17"/>
        <v>0</v>
      </c>
    </row>
    <row r="209" spans="1:4" x14ac:dyDescent="0.3">
      <c r="A209" s="1">
        <f t="shared" ref="A209:A228" si="18">A208+$A$15</f>
        <v>3.8613861386138644</v>
      </c>
      <c r="B209" s="1">
        <f t="shared" si="15"/>
        <v>3.0728984663172181</v>
      </c>
      <c r="C209" s="1">
        <f t="shared" si="16"/>
        <v>3.0728984663172181</v>
      </c>
      <c r="D209" s="1">
        <f t="shared" si="17"/>
        <v>0</v>
      </c>
    </row>
    <row r="210" spans="1:4" x14ac:dyDescent="0.3">
      <c r="A210" s="1">
        <f t="shared" si="18"/>
        <v>3.8811881188118842</v>
      </c>
      <c r="B210" s="1">
        <f t="shared" si="15"/>
        <v>3.0612502426713242</v>
      </c>
      <c r="C210" s="1">
        <f t="shared" si="16"/>
        <v>3.0612502426713242</v>
      </c>
      <c r="D210" s="1">
        <f t="shared" si="17"/>
        <v>0</v>
      </c>
    </row>
    <row r="211" spans="1:4" x14ac:dyDescent="0.3">
      <c r="A211" s="1">
        <f t="shared" si="18"/>
        <v>3.900990099009904</v>
      </c>
      <c r="B211" s="1">
        <f t="shared" si="15"/>
        <v>3.0496020190254303</v>
      </c>
      <c r="C211" s="1">
        <f t="shared" si="16"/>
        <v>3.0496020190254303</v>
      </c>
      <c r="D211" s="1">
        <f t="shared" si="17"/>
        <v>0</v>
      </c>
    </row>
    <row r="212" spans="1:4" x14ac:dyDescent="0.3">
      <c r="A212" s="1">
        <f t="shared" si="18"/>
        <v>3.9207920792079238</v>
      </c>
      <c r="B212" s="1">
        <f t="shared" si="15"/>
        <v>3.0379537953795364</v>
      </c>
      <c r="C212" s="1">
        <f t="shared" si="16"/>
        <v>3.0379537953795364</v>
      </c>
      <c r="D212" s="1">
        <f t="shared" si="17"/>
        <v>0</v>
      </c>
    </row>
    <row r="213" spans="1:4" x14ac:dyDescent="0.3">
      <c r="A213" s="1">
        <f t="shared" si="18"/>
        <v>3.9405940594059436</v>
      </c>
      <c r="B213" s="1">
        <f t="shared" si="15"/>
        <v>3.0263055717336425</v>
      </c>
      <c r="C213" s="1">
        <f t="shared" si="16"/>
        <v>3.0263055717336425</v>
      </c>
      <c r="D213" s="1">
        <f t="shared" si="17"/>
        <v>0</v>
      </c>
    </row>
    <row r="214" spans="1:4" x14ac:dyDescent="0.3">
      <c r="A214" s="1">
        <f t="shared" si="18"/>
        <v>3.9603960396039635</v>
      </c>
      <c r="B214" s="1">
        <f t="shared" si="15"/>
        <v>3.0146573480877592</v>
      </c>
      <c r="C214" s="1">
        <f t="shared" si="16"/>
        <v>3.0146573480877592</v>
      </c>
      <c r="D214" s="1">
        <f t="shared" si="17"/>
        <v>0</v>
      </c>
    </row>
    <row r="215" spans="1:4" x14ac:dyDescent="0.3">
      <c r="A215" s="1">
        <f t="shared" si="18"/>
        <v>3.9801980198019833</v>
      </c>
      <c r="B215" s="1">
        <f t="shared" si="15"/>
        <v>3.0728984663172292</v>
      </c>
      <c r="C215" s="1">
        <f t="shared" si="16"/>
        <v>3.0728984663172292</v>
      </c>
      <c r="D215" s="1">
        <f t="shared" si="17"/>
        <v>1.75</v>
      </c>
    </row>
    <row r="216" spans="1:4" x14ac:dyDescent="0.3">
      <c r="A216" s="1">
        <f t="shared" si="18"/>
        <v>4.0000000000000027</v>
      </c>
      <c r="B216" s="1">
        <f t="shared" si="15"/>
        <v>3.1311395845466978</v>
      </c>
      <c r="C216" s="1">
        <f t="shared" si="16"/>
        <v>3.1311395845466978</v>
      </c>
      <c r="D216" s="1">
        <f t="shared" si="17"/>
        <v>1.75</v>
      </c>
    </row>
    <row r="217" spans="1:4" x14ac:dyDescent="0.3">
      <c r="A217" s="1">
        <f t="shared" si="18"/>
        <v>4.0198019801980225</v>
      </c>
      <c r="B217" s="1">
        <f t="shared" si="15"/>
        <v>3.1893807027761678</v>
      </c>
      <c r="C217" s="1">
        <f t="shared" si="16"/>
        <v>3.1893807027761678</v>
      </c>
      <c r="D217" s="1">
        <f t="shared" si="17"/>
        <v>1.75</v>
      </c>
    </row>
    <row r="218" spans="1:4" x14ac:dyDescent="0.3">
      <c r="A218" s="1">
        <f t="shared" si="18"/>
        <v>4.0396039603960423</v>
      </c>
      <c r="B218" s="1">
        <f t="shared" si="15"/>
        <v>3.2476218210056378</v>
      </c>
      <c r="C218" s="1">
        <f t="shared" si="16"/>
        <v>3.2476218210056378</v>
      </c>
      <c r="D218" s="1">
        <f t="shared" si="17"/>
        <v>1.75</v>
      </c>
    </row>
    <row r="219" spans="1:4" x14ac:dyDescent="0.3">
      <c r="A219" s="1">
        <f t="shared" si="18"/>
        <v>4.0594059405940621</v>
      </c>
      <c r="B219" s="1">
        <f t="shared" si="15"/>
        <v>3.3058629392351082</v>
      </c>
      <c r="C219" s="1">
        <f t="shared" si="16"/>
        <v>3.3058629392351082</v>
      </c>
      <c r="D219" s="1">
        <f t="shared" si="17"/>
        <v>1.75</v>
      </c>
    </row>
    <row r="220" spans="1:4" x14ac:dyDescent="0.3">
      <c r="A220" s="1">
        <f t="shared" si="18"/>
        <v>4.0792079207920819</v>
      </c>
      <c r="B220" s="1">
        <f t="shared" si="15"/>
        <v>3.3641040574645782</v>
      </c>
      <c r="C220" s="1">
        <f t="shared" si="16"/>
        <v>3.3641040574645782</v>
      </c>
      <c r="D220" s="1">
        <f t="shared" si="17"/>
        <v>1.75</v>
      </c>
    </row>
    <row r="221" spans="1:4" x14ac:dyDescent="0.3">
      <c r="A221" s="1">
        <f t="shared" si="18"/>
        <v>4.0990099009901018</v>
      </c>
      <c r="B221" s="1">
        <f t="shared" si="15"/>
        <v>3.4223451756940482</v>
      </c>
      <c r="C221" s="1">
        <f t="shared" si="16"/>
        <v>3.4223451756940482</v>
      </c>
      <c r="D221" s="1">
        <f t="shared" si="17"/>
        <v>1.75</v>
      </c>
    </row>
    <row r="222" spans="1:4" x14ac:dyDescent="0.3">
      <c r="A222" s="1">
        <f t="shared" si="18"/>
        <v>4.1188118811881216</v>
      </c>
      <c r="B222" s="1">
        <f t="shared" si="15"/>
        <v>3.4805862939235181</v>
      </c>
      <c r="C222" s="1">
        <f t="shared" si="16"/>
        <v>3.4805862939235181</v>
      </c>
      <c r="D222" s="1">
        <f t="shared" si="17"/>
        <v>1.75</v>
      </c>
    </row>
    <row r="223" spans="1:4" x14ac:dyDescent="0.3">
      <c r="A223" s="1">
        <f t="shared" si="18"/>
        <v>4.1386138613861414</v>
      </c>
      <c r="B223" s="1">
        <f t="shared" si="15"/>
        <v>3.5388274121529881</v>
      </c>
      <c r="C223" s="1">
        <f t="shared" si="16"/>
        <v>3.5388274121529881</v>
      </c>
      <c r="D223" s="1">
        <f t="shared" si="17"/>
        <v>1.75</v>
      </c>
    </row>
    <row r="224" spans="1:4" x14ac:dyDescent="0.3">
      <c r="A224" s="1">
        <f t="shared" si="18"/>
        <v>4.1584158415841612</v>
      </c>
      <c r="B224" s="1">
        <f t="shared" si="15"/>
        <v>3.5970685303824581</v>
      </c>
      <c r="C224" s="1">
        <f t="shared" si="16"/>
        <v>3.5970685303824581</v>
      </c>
      <c r="D224" s="1">
        <f t="shared" si="17"/>
        <v>1.75</v>
      </c>
    </row>
    <row r="225" spans="1:4" x14ac:dyDescent="0.3">
      <c r="A225" s="1">
        <f t="shared" si="18"/>
        <v>4.178217821782181</v>
      </c>
      <c r="B225" s="1">
        <f t="shared" si="15"/>
        <v>3.6553096486119285</v>
      </c>
      <c r="C225" s="1">
        <f t="shared" si="16"/>
        <v>3.6553096486119285</v>
      </c>
      <c r="D225" s="1">
        <f t="shared" si="17"/>
        <v>1.75</v>
      </c>
    </row>
    <row r="226" spans="1:4" x14ac:dyDescent="0.3">
      <c r="A226" s="1">
        <f t="shared" si="18"/>
        <v>4.1980198019802009</v>
      </c>
      <c r="B226" s="1">
        <f t="shared" si="15"/>
        <v>3.7135507668413985</v>
      </c>
      <c r="C226" s="1">
        <f t="shared" si="16"/>
        <v>3.7135507668413985</v>
      </c>
      <c r="D226" s="1">
        <f t="shared" si="17"/>
        <v>1.75</v>
      </c>
    </row>
    <row r="227" spans="1:4" x14ac:dyDescent="0.3">
      <c r="A227" s="1">
        <f t="shared" si="18"/>
        <v>4.2178217821782207</v>
      </c>
      <c r="B227" s="1">
        <f t="shared" si="15"/>
        <v>3.7717918850708685</v>
      </c>
      <c r="C227" s="1">
        <f t="shared" si="16"/>
        <v>3.7717918850708685</v>
      </c>
      <c r="D227" s="1">
        <f t="shared" si="17"/>
        <v>1.75</v>
      </c>
    </row>
    <row r="228" spans="1:4" x14ac:dyDescent="0.3">
      <c r="A228" s="1">
        <f t="shared" si="18"/>
        <v>4.2376237623762405</v>
      </c>
      <c r="B228" s="1">
        <f t="shared" si="15"/>
        <v>3.8300330033003385</v>
      </c>
      <c r="C228" s="1">
        <f t="shared" si="16"/>
        <v>3.8300330033003385</v>
      </c>
      <c r="D228" s="1">
        <f t="shared" si="17"/>
        <v>1.75</v>
      </c>
    </row>
    <row r="229" spans="1:4" x14ac:dyDescent="0.3">
      <c r="D229" s="1">
        <f t="shared" si="17"/>
        <v>1.75</v>
      </c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</sheetData>
  <mergeCells count="7">
    <mergeCell ref="E27:G27"/>
    <mergeCell ref="H28:H31"/>
    <mergeCell ref="A1:C1"/>
    <mergeCell ref="E17:G17"/>
    <mergeCell ref="A7:C7"/>
    <mergeCell ref="E1:G1"/>
    <mergeCell ref="E8:G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9ED4-BC8F-44BC-A9D9-CE226525C93E}">
  <dimension ref="A1:I255"/>
  <sheetViews>
    <sheetView zoomScale="115" zoomScaleNormal="115" workbookViewId="0">
      <selection activeCell="F30" sqref="F30"/>
    </sheetView>
  </sheetViews>
  <sheetFormatPr defaultColWidth="8.88671875" defaultRowHeight="14.4" x14ac:dyDescent="0.3"/>
  <cols>
    <col min="1" max="4" width="12.6640625" style="1" customWidth="1"/>
    <col min="5" max="5" width="24.6640625" style="1" customWidth="1"/>
    <col min="6" max="6" width="9.88671875" style="1" bestFit="1" customWidth="1"/>
    <col min="7" max="16384" width="8.88671875" style="1"/>
  </cols>
  <sheetData>
    <row r="1" spans="1:8" x14ac:dyDescent="0.3">
      <c r="A1" s="15" t="s">
        <v>16</v>
      </c>
      <c r="B1" s="15"/>
      <c r="C1" s="15"/>
      <c r="E1" s="15" t="s">
        <v>37</v>
      </c>
      <c r="F1" s="15"/>
      <c r="G1" s="15"/>
    </row>
    <row r="2" spans="1:8" x14ac:dyDescent="0.3">
      <c r="A2" s="2" t="s">
        <v>0</v>
      </c>
      <c r="B2" s="2">
        <v>5</v>
      </c>
      <c r="C2" s="2" t="s">
        <v>6</v>
      </c>
      <c r="E2" s="2" t="s">
        <v>7</v>
      </c>
      <c r="F2" s="2">
        <v>100</v>
      </c>
      <c r="G2" s="2" t="s">
        <v>8</v>
      </c>
    </row>
    <row r="3" spans="1:8" x14ac:dyDescent="0.3">
      <c r="A3" s="2" t="s">
        <v>1</v>
      </c>
      <c r="B3" s="2">
        <v>10</v>
      </c>
      <c r="C3" s="2" t="s">
        <v>6</v>
      </c>
      <c r="E3" s="3" t="s">
        <v>24</v>
      </c>
      <c r="F3" s="7">
        <f>10^6/(F2*1000)</f>
        <v>10</v>
      </c>
      <c r="G3" s="3" t="s">
        <v>25</v>
      </c>
    </row>
    <row r="4" spans="1:8" x14ac:dyDescent="0.3">
      <c r="A4" s="2" t="s">
        <v>14</v>
      </c>
      <c r="B4" s="2">
        <v>3</v>
      </c>
      <c r="C4" s="2" t="s">
        <v>11</v>
      </c>
      <c r="E4" s="3" t="s">
        <v>27</v>
      </c>
      <c r="F4" s="4">
        <f>100*B2/B3</f>
        <v>50</v>
      </c>
      <c r="G4" s="3" t="s">
        <v>28</v>
      </c>
    </row>
    <row r="5" spans="1:8" x14ac:dyDescent="0.3">
      <c r="A5" s="2" t="s">
        <v>36</v>
      </c>
      <c r="B5" s="2">
        <v>0.8</v>
      </c>
      <c r="C5" s="2" t="s">
        <v>6</v>
      </c>
      <c r="E5" s="3" t="s">
        <v>29</v>
      </c>
      <c r="F5" s="5">
        <f>F3*F4/100</f>
        <v>5</v>
      </c>
      <c r="G5" s="3" t="s">
        <v>25</v>
      </c>
      <c r="H5" s="1" t="s">
        <v>44</v>
      </c>
    </row>
    <row r="6" spans="1:8" x14ac:dyDescent="0.3">
      <c r="E6" s="3" t="s">
        <v>30</v>
      </c>
      <c r="F6" s="5">
        <f>IF(B4&lt;F9/2, 2*B4*F12/B3, F3-F5)</f>
        <v>5</v>
      </c>
      <c r="G6" s="3" t="s">
        <v>25</v>
      </c>
    </row>
    <row r="7" spans="1:8" x14ac:dyDescent="0.3">
      <c r="A7" s="15" t="s">
        <v>2</v>
      </c>
      <c r="B7" s="15"/>
      <c r="C7" s="15"/>
    </row>
    <row r="8" spans="1:8" x14ac:dyDescent="0.3">
      <c r="A8" s="3" t="s">
        <v>3</v>
      </c>
      <c r="B8" s="3">
        <f>B9*(B3/B5-1)</f>
        <v>230</v>
      </c>
      <c r="C8" s="3" t="s">
        <v>5</v>
      </c>
      <c r="E8" s="15" t="s">
        <v>9</v>
      </c>
      <c r="F8" s="15"/>
      <c r="G8" s="15"/>
    </row>
    <row r="9" spans="1:8" x14ac:dyDescent="0.3">
      <c r="A9" s="2" t="s">
        <v>4</v>
      </c>
      <c r="B9" s="2">
        <v>20</v>
      </c>
      <c r="C9" s="2" t="s">
        <v>5</v>
      </c>
      <c r="E9" s="2" t="s">
        <v>10</v>
      </c>
      <c r="F9" s="2">
        <v>0.5</v>
      </c>
      <c r="G9" s="2" t="s">
        <v>11</v>
      </c>
    </row>
    <row r="10" spans="1:8" x14ac:dyDescent="0.3">
      <c r="E10" s="3" t="s">
        <v>13</v>
      </c>
      <c r="F10" s="3">
        <f>B4+F9/2</f>
        <v>3.25</v>
      </c>
      <c r="G10" s="3" t="s">
        <v>11</v>
      </c>
    </row>
    <row r="11" spans="1:8" x14ac:dyDescent="0.3">
      <c r="E11" s="2" t="s">
        <v>17</v>
      </c>
      <c r="F11" s="2">
        <v>24.96</v>
      </c>
      <c r="G11" s="2" t="s">
        <v>18</v>
      </c>
    </row>
    <row r="12" spans="1:8" x14ac:dyDescent="0.3">
      <c r="A12" s="2" t="s">
        <v>31</v>
      </c>
      <c r="B12" s="2">
        <v>100</v>
      </c>
      <c r="E12" s="3" t="s">
        <v>41</v>
      </c>
      <c r="F12" s="5">
        <f>10^6*(B2*(B3+0.4-B2))/((F9*F2*10^3*(B3+0.4)))</f>
        <v>51.92307692307692</v>
      </c>
      <c r="G12" s="3" t="s">
        <v>12</v>
      </c>
    </row>
    <row r="13" spans="1:8" x14ac:dyDescent="0.3">
      <c r="A13" s="1" t="s">
        <v>26</v>
      </c>
      <c r="C13" s="1" t="s">
        <v>23</v>
      </c>
      <c r="E13" s="2" t="s">
        <v>42</v>
      </c>
      <c r="F13" s="9">
        <v>10</v>
      </c>
      <c r="G13" s="2" t="s">
        <v>12</v>
      </c>
    </row>
    <row r="14" spans="1:8" x14ac:dyDescent="0.3">
      <c r="A14" s="1">
        <v>0</v>
      </c>
      <c r="B14" s="1">
        <f t="shared" ref="B14:B77" si="0">IF(MOD(A14,$F$3)&lt;=$F$5,$F$19 + $F$21 * MOD(A14,$F$3),$F$20 + $F$22 * (MOD(A14,$F$3)-$F$5))</f>
        <v>1.7019230769230769</v>
      </c>
      <c r="C14" s="1">
        <f>IF(B14&gt;=0,B14,0)</f>
        <v>1.7019230769230769</v>
      </c>
      <c r="D14" s="1" t="s">
        <v>34</v>
      </c>
      <c r="E14" s="3" t="s">
        <v>45</v>
      </c>
      <c r="F14" s="5">
        <f>F18*100/B4</f>
        <v>86.538461538461547</v>
      </c>
      <c r="G14" s="3" t="s">
        <v>28</v>
      </c>
    </row>
    <row r="15" spans="1:8" x14ac:dyDescent="0.3">
      <c r="A15" s="1">
        <f>F3/(B12)</f>
        <v>0.1</v>
      </c>
      <c r="B15" s="1">
        <f t="shared" si="0"/>
        <v>1.7519230769230769</v>
      </c>
      <c r="C15" s="1">
        <f t="shared" ref="C15:C78" si="1">IF(B15&gt;=0,B15,0)</f>
        <v>1.7519230769230769</v>
      </c>
      <c r="D15" s="1">
        <f>IF(B14&lt;0, 0, IF(MOD(A14,$F$3)&lt;$F$3*$F$4/100, $B$4/2, 0))</f>
        <v>1.5</v>
      </c>
      <c r="E15" s="3" t="s">
        <v>19</v>
      </c>
      <c r="F15" s="5">
        <f>B4^2*F11/1000</f>
        <v>0.22464000000000001</v>
      </c>
      <c r="G15" s="3" t="s">
        <v>20</v>
      </c>
    </row>
    <row r="16" spans="1:8" x14ac:dyDescent="0.3">
      <c r="A16" s="1">
        <f>2*A15</f>
        <v>0.2</v>
      </c>
      <c r="B16" s="1">
        <f t="shared" si="0"/>
        <v>1.801923076923077</v>
      </c>
      <c r="C16" s="1">
        <f t="shared" si="1"/>
        <v>1.801923076923077</v>
      </c>
      <c r="D16" s="1">
        <f>IF(B15&lt;0, 0, IF(MOD(A15,$F$3)&lt;$F$3*$F$4/100, $B$4/2, 0))</f>
        <v>1.5</v>
      </c>
    </row>
    <row r="17" spans="1:9" x14ac:dyDescent="0.3">
      <c r="A17" s="1">
        <f>A16+$A$15</f>
        <v>0.30000000000000004</v>
      </c>
      <c r="B17" s="1">
        <f t="shared" si="0"/>
        <v>1.851923076923077</v>
      </c>
      <c r="C17" s="1">
        <f t="shared" si="1"/>
        <v>1.851923076923077</v>
      </c>
      <c r="D17" s="1">
        <f>IF(B16&lt;0, 0, IF(MOD(A16,$F$3)&lt;$F$3*$F$4/100, $B$4/2, 0))</f>
        <v>1.5</v>
      </c>
      <c r="E17" s="18" t="s">
        <v>43</v>
      </c>
      <c r="F17" s="18"/>
      <c r="G17" s="18"/>
    </row>
    <row r="18" spans="1:9" x14ac:dyDescent="0.3">
      <c r="A18" s="1">
        <f>A17+$A$15</f>
        <v>0.4</v>
      </c>
      <c r="B18" s="1">
        <f t="shared" si="0"/>
        <v>1.9019230769230768</v>
      </c>
      <c r="C18" s="1">
        <f t="shared" si="1"/>
        <v>1.9019230769230768</v>
      </c>
      <c r="D18" s="1">
        <f>IF(B17&lt;0, 0, IF(MOD(A17,$F$3)&lt;$F$3*$F$4/100, $B$4/2, 0))</f>
        <v>1.5</v>
      </c>
      <c r="E18" s="3" t="s">
        <v>10</v>
      </c>
      <c r="F18" s="7">
        <f>(B2*(B3+0.4-B2))/((F13/10^6*F2*10^3*(B3+0.4)))</f>
        <v>2.5961538461538463</v>
      </c>
      <c r="G18" s="3" t="s">
        <v>11</v>
      </c>
    </row>
    <row r="19" spans="1:9" x14ac:dyDescent="0.3">
      <c r="A19" s="1">
        <f>A18+$A$15</f>
        <v>0.5</v>
      </c>
      <c r="B19" s="1">
        <f t="shared" si="0"/>
        <v>1.9519230769230769</v>
      </c>
      <c r="C19" s="1">
        <f t="shared" si="1"/>
        <v>1.9519230769230769</v>
      </c>
      <c r="D19" s="1">
        <f>IF(B18&lt;0, 0, IF(MOD(A18,$F$3)&lt;$F$3*$F$4/100, $B$4/2, 0))</f>
        <v>1.5</v>
      </c>
      <c r="E19" s="3" t="s">
        <v>21</v>
      </c>
      <c r="F19" s="7">
        <f>B4-F18/2</f>
        <v>1.7019230769230769</v>
      </c>
      <c r="G19" s="3" t="s">
        <v>11</v>
      </c>
    </row>
    <row r="20" spans="1:9" x14ac:dyDescent="0.3">
      <c r="A20" s="1">
        <f>A19+$A$15</f>
        <v>0.6</v>
      </c>
      <c r="B20" s="1">
        <f t="shared" si="0"/>
        <v>2.0019230769230769</v>
      </c>
      <c r="C20" s="1">
        <f t="shared" si="1"/>
        <v>2.0019230769230769</v>
      </c>
      <c r="D20" s="1">
        <f>IF(B19&lt;0, 0, IF(MOD(A19,$F$3)&lt;$F$3*$F$4/100, $B$4/2, 0))</f>
        <v>1.5</v>
      </c>
      <c r="E20" s="3" t="s">
        <v>22</v>
      </c>
      <c r="F20" s="7">
        <f>B4+F18/2</f>
        <v>4.2980769230769234</v>
      </c>
      <c r="G20" s="3" t="s">
        <v>11</v>
      </c>
    </row>
    <row r="21" spans="1:9" x14ac:dyDescent="0.3">
      <c r="A21" s="1">
        <f>A20+$A$15</f>
        <v>0.7</v>
      </c>
      <c r="B21" s="1">
        <f t="shared" si="0"/>
        <v>2.0519230769230767</v>
      </c>
      <c r="C21" s="1">
        <f t="shared" si="1"/>
        <v>2.0519230769230767</v>
      </c>
      <c r="D21" s="1">
        <f>IF(B20&lt;0, 0, IF(MOD(A20,$F$3)&lt;$F$3*$F$4/100, $B$4/2, 0))</f>
        <v>1.5</v>
      </c>
      <c r="E21" s="3" t="s">
        <v>32</v>
      </c>
      <c r="F21" s="5">
        <f>(B2)/(F13)</f>
        <v>0.5</v>
      </c>
      <c r="G21" s="3" t="s">
        <v>35</v>
      </c>
    </row>
    <row r="22" spans="1:9" x14ac:dyDescent="0.3">
      <c r="A22" s="1">
        <f>A21+$A$15</f>
        <v>0.79999999999999993</v>
      </c>
      <c r="B22" s="1">
        <f t="shared" si="0"/>
        <v>2.101923076923077</v>
      </c>
      <c r="C22" s="1">
        <f t="shared" si="1"/>
        <v>2.101923076923077</v>
      </c>
      <c r="D22" s="1">
        <f>IF(B21&lt;0, 0, IF(MOD(A21,$F$3)&lt;$F$3*$F$4/100, $B$4/2, 0))</f>
        <v>1.5</v>
      </c>
      <c r="E22" s="3" t="s">
        <v>33</v>
      </c>
      <c r="F22" s="5">
        <f>(B2-B3)/(F13)</f>
        <v>-0.5</v>
      </c>
      <c r="G22" s="3" t="s">
        <v>35</v>
      </c>
    </row>
    <row r="23" spans="1:9" x14ac:dyDescent="0.3">
      <c r="A23" s="1">
        <f>A22+$A$15</f>
        <v>0.89999999999999991</v>
      </c>
      <c r="B23" s="1">
        <f t="shared" si="0"/>
        <v>2.1519230769230768</v>
      </c>
      <c r="C23" s="1">
        <f t="shared" si="1"/>
        <v>2.1519230769230768</v>
      </c>
      <c r="D23" s="1">
        <f>IF(B22&lt;0, 0, IF(MOD(A22,$F$3)&lt;$F$3*$F$4/100, $B$4/2, 0))</f>
        <v>1.5</v>
      </c>
    </row>
    <row r="24" spans="1:9" x14ac:dyDescent="0.3">
      <c r="A24" s="1">
        <f>A23+$A$15</f>
        <v>0.99999999999999989</v>
      </c>
      <c r="B24" s="1">
        <f t="shared" si="0"/>
        <v>2.2019230769230766</v>
      </c>
      <c r="C24" s="1">
        <f t="shared" si="1"/>
        <v>2.2019230769230766</v>
      </c>
      <c r="D24" s="1">
        <f>IF(B23&lt;0, 0, IF(MOD(A23,$F$3)&lt;$F$3*$F$4/100, $B$4/2, 0))</f>
        <v>1.5</v>
      </c>
      <c r="E24" s="5" t="s">
        <v>39</v>
      </c>
      <c r="F24" s="4">
        <f>(2*F13)/((1-F4/100)*F3)</f>
        <v>4</v>
      </c>
      <c r="G24" s="3" t="s">
        <v>38</v>
      </c>
    </row>
    <row r="25" spans="1:9" x14ac:dyDescent="0.3">
      <c r="A25" s="1">
        <f>A24+$A$15</f>
        <v>1.0999999999999999</v>
      </c>
      <c r="B25" s="1">
        <f t="shared" si="0"/>
        <v>2.2519230769230769</v>
      </c>
      <c r="C25" s="1">
        <f t="shared" si="1"/>
        <v>2.2519230769230769</v>
      </c>
      <c r="D25" s="1">
        <f>IF(B24&lt;0, 0, IF(MOD(A24,$F$3)&lt;$F$3*$F$4/100, $B$4/2, 0))</f>
        <v>1.5</v>
      </c>
      <c r="E25" s="3" t="s">
        <v>40</v>
      </c>
      <c r="F25" s="7">
        <f>B3/F24</f>
        <v>2.5</v>
      </c>
      <c r="G25" s="3" t="s">
        <v>11</v>
      </c>
    </row>
    <row r="26" spans="1:9" x14ac:dyDescent="0.3">
      <c r="A26" s="1">
        <f>A25+$A$15</f>
        <v>1.2</v>
      </c>
      <c r="B26" s="1">
        <f t="shared" si="0"/>
        <v>2.3019230769230767</v>
      </c>
      <c r="C26" s="1">
        <f t="shared" si="1"/>
        <v>2.3019230769230767</v>
      </c>
      <c r="D26" s="1">
        <f>IF(B25&lt;0, 0, IF(MOD(A25,$F$3)&lt;$F$3*$F$4/100, $B$4/2, 0))</f>
        <v>1.5</v>
      </c>
    </row>
    <row r="27" spans="1:9" x14ac:dyDescent="0.3">
      <c r="A27" s="1">
        <f>A26+$A$15</f>
        <v>1.3</v>
      </c>
      <c r="B27" s="1">
        <f t="shared" si="0"/>
        <v>2.351923076923077</v>
      </c>
      <c r="C27" s="1">
        <f t="shared" si="1"/>
        <v>2.351923076923077</v>
      </c>
      <c r="D27" s="1">
        <f>IF(B26&lt;0, 0, IF(MOD(A26,$F$3)&lt;$F$3*$F$4/100, $B$4/2, 0))</f>
        <v>1.5</v>
      </c>
      <c r="E27" s="15" t="s">
        <v>52</v>
      </c>
      <c r="F27" s="15"/>
      <c r="G27" s="15"/>
    </row>
    <row r="28" spans="1:9" x14ac:dyDescent="0.3">
      <c r="A28" s="1">
        <f>A27+$A$15</f>
        <v>1.4000000000000001</v>
      </c>
      <c r="B28" s="1">
        <f t="shared" si="0"/>
        <v>2.4019230769230768</v>
      </c>
      <c r="C28" s="1">
        <f t="shared" si="1"/>
        <v>2.4019230769230768</v>
      </c>
      <c r="D28" s="1">
        <f>IF(B27&lt;0, 0, IF(MOD(A27,$F$3)&lt;$F$3*$F$4/100, $B$4/2, 0))</f>
        <v>1.5</v>
      </c>
      <c r="E28" s="2" t="s">
        <v>53</v>
      </c>
      <c r="F28" s="2">
        <v>0.1</v>
      </c>
      <c r="G28" s="2" t="s">
        <v>6</v>
      </c>
      <c r="H28" s="16" t="s">
        <v>57</v>
      </c>
    </row>
    <row r="29" spans="1:9" x14ac:dyDescent="0.3">
      <c r="A29" s="1">
        <f>A28+$A$15</f>
        <v>1.5000000000000002</v>
      </c>
      <c r="B29" s="1">
        <f t="shared" si="0"/>
        <v>2.4519230769230771</v>
      </c>
      <c r="C29" s="1">
        <f t="shared" si="1"/>
        <v>2.4519230769230771</v>
      </c>
      <c r="D29" s="1">
        <f>IF(B28&lt;0, 0, IF(MOD(A28,$F$3)&lt;$F$3*$F$4/100, $B$4/2, 0))</f>
        <v>1.5</v>
      </c>
      <c r="E29" s="2" t="s">
        <v>54</v>
      </c>
      <c r="F29" s="2">
        <v>0.25</v>
      </c>
      <c r="G29" s="2" t="s">
        <v>6</v>
      </c>
      <c r="H29" s="16"/>
      <c r="I29" s="8"/>
    </row>
    <row r="30" spans="1:9" x14ac:dyDescent="0.3">
      <c r="A30" s="1">
        <f>A29+$A$15</f>
        <v>1.6000000000000003</v>
      </c>
      <c r="B30" s="1">
        <f t="shared" si="0"/>
        <v>2.5019230769230769</v>
      </c>
      <c r="C30" s="1">
        <f t="shared" si="1"/>
        <v>2.5019230769230769</v>
      </c>
      <c r="D30" s="1">
        <f>IF(B29&lt;0, 0, IF(MOD(A29,$F$3)&lt;$F$3*$F$4/100, $B$4/2, 0))</f>
        <v>1.5</v>
      </c>
      <c r="E30" s="13" t="s">
        <v>55</v>
      </c>
      <c r="F30" s="14">
        <f>10^6*F18/(8*F2*10^3*F28)</f>
        <v>32.45192307692308</v>
      </c>
      <c r="G30" s="13" t="s">
        <v>15</v>
      </c>
      <c r="H30" s="16"/>
      <c r="I30" s="8"/>
    </row>
    <row r="31" spans="1:9" x14ac:dyDescent="0.3">
      <c r="A31" s="1">
        <f>A30+$A$15</f>
        <v>1.7000000000000004</v>
      </c>
      <c r="B31" s="1">
        <f t="shared" si="0"/>
        <v>2.5519230769230772</v>
      </c>
      <c r="C31" s="1">
        <f t="shared" si="1"/>
        <v>2.5519230769230772</v>
      </c>
      <c r="D31" s="1">
        <f>IF(B30&lt;0, 0, IF(MOD(A30,$F$3)&lt;$F$3*$F$4/100, $B$4/2, 0))</f>
        <v>1.5</v>
      </c>
      <c r="E31" s="13" t="s">
        <v>56</v>
      </c>
      <c r="F31" s="14">
        <f>10^6*(F18^2*F13/10^6)/(2*F28*F29)</f>
        <v>1348.0029585798816</v>
      </c>
      <c r="G31" s="13" t="s">
        <v>15</v>
      </c>
      <c r="H31" s="16"/>
      <c r="I31" s="8"/>
    </row>
    <row r="32" spans="1:9" x14ac:dyDescent="0.3">
      <c r="A32" s="1">
        <f>A31+$A$15</f>
        <v>1.8000000000000005</v>
      </c>
      <c r="B32" s="1">
        <f t="shared" si="0"/>
        <v>2.601923076923077</v>
      </c>
      <c r="C32" s="1">
        <f t="shared" si="1"/>
        <v>2.601923076923077</v>
      </c>
      <c r="D32" s="1">
        <f>IF(B31&lt;0, 0, IF(MOD(A31,$F$3)&lt;$F$3*$F$4/100, $B$4/2, 0))</f>
        <v>1.5</v>
      </c>
      <c r="H32" s="8"/>
      <c r="I32" s="8"/>
    </row>
    <row r="33" spans="1:9" x14ac:dyDescent="0.3">
      <c r="A33" s="1">
        <f>A32+$A$15</f>
        <v>1.9000000000000006</v>
      </c>
      <c r="B33" s="1">
        <f t="shared" si="0"/>
        <v>2.6519230769230773</v>
      </c>
      <c r="C33" s="1">
        <f t="shared" si="1"/>
        <v>2.6519230769230773</v>
      </c>
      <c r="D33" s="1">
        <f>IF(B32&lt;0, 0, IF(MOD(A32,$F$3)&lt;$F$3*$F$4/100, $B$4/2, 0))</f>
        <v>1.5</v>
      </c>
      <c r="H33" s="8"/>
      <c r="I33" s="8"/>
    </row>
    <row r="34" spans="1:9" x14ac:dyDescent="0.3">
      <c r="A34" s="1">
        <f>A33+$A$15</f>
        <v>2.0000000000000004</v>
      </c>
      <c r="B34" s="1">
        <f t="shared" si="0"/>
        <v>2.7019230769230771</v>
      </c>
      <c r="C34" s="1">
        <f t="shared" si="1"/>
        <v>2.7019230769230771</v>
      </c>
      <c r="D34" s="1">
        <f>IF(B33&lt;0, 0, IF(MOD(A33,$F$3)&lt;$F$3*$F$4/100, $B$4/2, 0))</f>
        <v>1.5</v>
      </c>
      <c r="H34" s="8"/>
      <c r="I34" s="8"/>
    </row>
    <row r="35" spans="1:9" ht="15.6" customHeight="1" x14ac:dyDescent="0.3">
      <c r="A35" s="1">
        <f>A34+$A$15</f>
        <v>2.1000000000000005</v>
      </c>
      <c r="B35" s="1">
        <f t="shared" si="0"/>
        <v>2.7519230769230774</v>
      </c>
      <c r="C35" s="1">
        <f t="shared" si="1"/>
        <v>2.7519230769230774</v>
      </c>
      <c r="D35" s="1">
        <f>IF(B34&lt;0, 0, IF(MOD(A34,$F$3)&lt;$F$3*$F$4/100, $B$4/2, 0))</f>
        <v>1.5</v>
      </c>
      <c r="H35" s="8"/>
      <c r="I35" s="8"/>
    </row>
    <row r="36" spans="1:9" x14ac:dyDescent="0.3">
      <c r="A36" s="1">
        <f>A35+$A$15</f>
        <v>2.2000000000000006</v>
      </c>
      <c r="B36" s="1">
        <f t="shared" si="0"/>
        <v>2.8019230769230772</v>
      </c>
      <c r="C36" s="1">
        <f t="shared" si="1"/>
        <v>2.8019230769230772</v>
      </c>
      <c r="D36" s="1">
        <f>IF(B35&lt;0, 0, IF(MOD(A35,$F$3)&lt;$F$3*$F$4/100, $B$4/2, 0))</f>
        <v>1.5</v>
      </c>
      <c r="H36" s="8"/>
      <c r="I36" s="8"/>
    </row>
    <row r="37" spans="1:9" x14ac:dyDescent="0.3">
      <c r="A37" s="1">
        <f>A36+$A$15</f>
        <v>2.3000000000000007</v>
      </c>
      <c r="B37" s="1">
        <f t="shared" si="0"/>
        <v>2.851923076923077</v>
      </c>
      <c r="C37" s="1">
        <f t="shared" si="1"/>
        <v>2.851923076923077</v>
      </c>
      <c r="D37" s="1">
        <f>IF(B36&lt;0, 0, IF(MOD(A36,$F$3)&lt;$F$3*$F$4/100, $B$4/2, 0))</f>
        <v>1.5</v>
      </c>
      <c r="H37" s="8"/>
      <c r="I37" s="8"/>
    </row>
    <row r="38" spans="1:9" x14ac:dyDescent="0.3">
      <c r="A38" s="1">
        <f>A37+$A$15</f>
        <v>2.4000000000000008</v>
      </c>
      <c r="B38" s="1">
        <f t="shared" si="0"/>
        <v>2.9019230769230773</v>
      </c>
      <c r="C38" s="1">
        <f t="shared" si="1"/>
        <v>2.9019230769230773</v>
      </c>
      <c r="D38" s="1">
        <f>IF(B37&lt;0, 0, IF(MOD(A37,$F$3)&lt;$F$3*$F$4/100, $B$4/2, 0))</f>
        <v>1.5</v>
      </c>
      <c r="H38" s="8"/>
      <c r="I38" s="8"/>
    </row>
    <row r="39" spans="1:9" x14ac:dyDescent="0.3">
      <c r="A39" s="1">
        <f>A38+$A$15</f>
        <v>2.5000000000000009</v>
      </c>
      <c r="B39" s="1">
        <f t="shared" si="0"/>
        <v>2.9519230769230775</v>
      </c>
      <c r="C39" s="1">
        <f t="shared" si="1"/>
        <v>2.9519230769230775</v>
      </c>
      <c r="D39" s="1">
        <f>IF(B38&lt;0, 0, IF(MOD(A38,$F$3)&lt;$F$3*$F$4/100, $B$4/2, 0))</f>
        <v>1.5</v>
      </c>
      <c r="H39" s="8"/>
      <c r="I39" s="8"/>
    </row>
    <row r="40" spans="1:9" x14ac:dyDescent="0.3">
      <c r="A40" s="1">
        <f>A39+$A$15</f>
        <v>2.600000000000001</v>
      </c>
      <c r="B40" s="1">
        <f t="shared" si="0"/>
        <v>3.0019230769230774</v>
      </c>
      <c r="C40" s="1">
        <f t="shared" si="1"/>
        <v>3.0019230769230774</v>
      </c>
      <c r="D40" s="1">
        <f>IF(B39&lt;0, 0, IF(MOD(A39,$F$3)&lt;$F$3*$F$4/100, $B$4/2, 0))</f>
        <v>1.5</v>
      </c>
      <c r="H40" s="8"/>
      <c r="I40" s="8"/>
    </row>
    <row r="41" spans="1:9" x14ac:dyDescent="0.3">
      <c r="A41" s="1">
        <f>A40+$A$15</f>
        <v>2.7000000000000011</v>
      </c>
      <c r="B41" s="1">
        <f t="shared" si="0"/>
        <v>3.0519230769230772</v>
      </c>
      <c r="C41" s="1">
        <f t="shared" si="1"/>
        <v>3.0519230769230772</v>
      </c>
      <c r="D41" s="1">
        <f>IF(B40&lt;0, 0, IF(MOD(A40,$F$3)&lt;$F$3*$F$4/100, $B$4/2, 0))</f>
        <v>1.5</v>
      </c>
      <c r="H41" s="8"/>
      <c r="I41" s="8"/>
    </row>
    <row r="42" spans="1:9" x14ac:dyDescent="0.3">
      <c r="A42" s="1">
        <f>A41+$A$15</f>
        <v>2.8000000000000012</v>
      </c>
      <c r="B42" s="1">
        <f t="shared" si="0"/>
        <v>3.1019230769230774</v>
      </c>
      <c r="C42" s="1">
        <f t="shared" si="1"/>
        <v>3.1019230769230774</v>
      </c>
      <c r="D42" s="1">
        <f>IF(B41&lt;0, 0, IF(MOD(A41,$F$3)&lt;$F$3*$F$4/100, $B$4/2, 0))</f>
        <v>1.5</v>
      </c>
      <c r="H42" s="8"/>
      <c r="I42" s="8"/>
    </row>
    <row r="43" spans="1:9" x14ac:dyDescent="0.3">
      <c r="A43" s="1">
        <f>A42+$A$15</f>
        <v>2.9000000000000012</v>
      </c>
      <c r="B43" s="1">
        <f t="shared" si="0"/>
        <v>3.1519230769230777</v>
      </c>
      <c r="C43" s="1">
        <f t="shared" si="1"/>
        <v>3.1519230769230777</v>
      </c>
      <c r="D43" s="1">
        <f>IF(B42&lt;0, 0, IF(MOD(A42,$F$3)&lt;$F$3*$F$4/100, $B$4/2, 0))</f>
        <v>1.5</v>
      </c>
      <c r="H43" s="8"/>
      <c r="I43" s="8"/>
    </row>
    <row r="44" spans="1:9" x14ac:dyDescent="0.3">
      <c r="A44" s="1">
        <f>A43+$A$15</f>
        <v>3.0000000000000013</v>
      </c>
      <c r="B44" s="1">
        <f t="shared" si="0"/>
        <v>3.2019230769230775</v>
      </c>
      <c r="C44" s="1">
        <f t="shared" si="1"/>
        <v>3.2019230769230775</v>
      </c>
      <c r="D44" s="1">
        <f>IF(B43&lt;0, 0, IF(MOD(A43,$F$3)&lt;$F$3*$F$4/100, $B$4/2, 0))</f>
        <v>1.5</v>
      </c>
      <c r="H44" s="8"/>
      <c r="I44" s="8"/>
    </row>
    <row r="45" spans="1:9" x14ac:dyDescent="0.3">
      <c r="A45" s="1">
        <f>A44+$A$15</f>
        <v>3.1000000000000014</v>
      </c>
      <c r="B45" s="1">
        <f t="shared" si="0"/>
        <v>3.2519230769230774</v>
      </c>
      <c r="C45" s="1">
        <f t="shared" si="1"/>
        <v>3.2519230769230774</v>
      </c>
      <c r="D45" s="1">
        <f>IF(B44&lt;0, 0, IF(MOD(A44,$F$3)&lt;$F$3*$F$4/100, $B$4/2, 0))</f>
        <v>1.5</v>
      </c>
      <c r="H45" s="8"/>
      <c r="I45" s="8"/>
    </row>
    <row r="46" spans="1:9" x14ac:dyDescent="0.3">
      <c r="A46" s="1">
        <f>A45+$A$15</f>
        <v>3.2000000000000015</v>
      </c>
      <c r="B46" s="1">
        <f t="shared" si="0"/>
        <v>3.3019230769230776</v>
      </c>
      <c r="C46" s="1">
        <f t="shared" si="1"/>
        <v>3.3019230769230776</v>
      </c>
      <c r="D46" s="1">
        <f>IF(B45&lt;0, 0, IF(MOD(A45,$F$3)&lt;$F$3*$F$4/100, $B$4/2, 0))</f>
        <v>1.5</v>
      </c>
      <c r="H46" s="8"/>
      <c r="I46" s="8"/>
    </row>
    <row r="47" spans="1:9" x14ac:dyDescent="0.3">
      <c r="A47" s="1">
        <f>A46+$A$15</f>
        <v>3.3000000000000016</v>
      </c>
      <c r="B47" s="1">
        <f t="shared" si="0"/>
        <v>3.3519230769230779</v>
      </c>
      <c r="C47" s="1">
        <f t="shared" si="1"/>
        <v>3.3519230769230779</v>
      </c>
      <c r="D47" s="1">
        <f>IF(B46&lt;0, 0, IF(MOD(A46,$F$3)&lt;$F$3*$F$4/100, $B$4/2, 0))</f>
        <v>1.5</v>
      </c>
      <c r="H47" s="8"/>
      <c r="I47" s="8"/>
    </row>
    <row r="48" spans="1:9" x14ac:dyDescent="0.3">
      <c r="A48" s="1">
        <f>A47+$A$15</f>
        <v>3.4000000000000017</v>
      </c>
      <c r="B48" s="1">
        <f t="shared" si="0"/>
        <v>3.4019230769230777</v>
      </c>
      <c r="C48" s="1">
        <f t="shared" si="1"/>
        <v>3.4019230769230777</v>
      </c>
      <c r="D48" s="1">
        <f>IF(B47&lt;0, 0, IF(MOD(A47,$F$3)&lt;$F$3*$F$4/100, $B$4/2, 0))</f>
        <v>1.5</v>
      </c>
      <c r="H48" s="8"/>
      <c r="I48" s="8"/>
    </row>
    <row r="49" spans="1:4" x14ac:dyDescent="0.3">
      <c r="A49" s="1">
        <f>A48+$A$15</f>
        <v>3.5000000000000018</v>
      </c>
      <c r="B49" s="1">
        <f t="shared" si="0"/>
        <v>3.4519230769230775</v>
      </c>
      <c r="C49" s="1">
        <f t="shared" si="1"/>
        <v>3.4519230769230775</v>
      </c>
      <c r="D49" s="1">
        <f>IF(B48&lt;0, 0, IF(MOD(A48,$F$3)&lt;$F$3*$F$4/100, $B$4/2, 0))</f>
        <v>1.5</v>
      </c>
    </row>
    <row r="50" spans="1:4" x14ac:dyDescent="0.3">
      <c r="A50" s="1">
        <f>A49+$A$15</f>
        <v>3.6000000000000019</v>
      </c>
      <c r="B50" s="1">
        <f t="shared" si="0"/>
        <v>3.5019230769230778</v>
      </c>
      <c r="C50" s="1">
        <f t="shared" si="1"/>
        <v>3.5019230769230778</v>
      </c>
      <c r="D50" s="1">
        <f>IF(B49&lt;0, 0, IF(MOD(A49,$F$3)&lt;$F$3*$F$4/100, $B$4/2, 0))</f>
        <v>1.5</v>
      </c>
    </row>
    <row r="51" spans="1:4" x14ac:dyDescent="0.3">
      <c r="A51" s="1">
        <f>A50+$A$15</f>
        <v>3.700000000000002</v>
      </c>
      <c r="B51" s="1">
        <f t="shared" si="0"/>
        <v>3.5519230769230781</v>
      </c>
      <c r="C51" s="1">
        <f t="shared" si="1"/>
        <v>3.5519230769230781</v>
      </c>
      <c r="D51" s="1">
        <f>IF(B50&lt;0, 0, IF(MOD(A50,$F$3)&lt;$F$3*$F$4/100, $B$4/2, 0))</f>
        <v>1.5</v>
      </c>
    </row>
    <row r="52" spans="1:4" x14ac:dyDescent="0.3">
      <c r="A52" s="1">
        <f>A51+$A$15</f>
        <v>3.800000000000002</v>
      </c>
      <c r="B52" s="1">
        <f t="shared" si="0"/>
        <v>3.6019230769230779</v>
      </c>
      <c r="C52" s="1">
        <f t="shared" si="1"/>
        <v>3.6019230769230779</v>
      </c>
      <c r="D52" s="1">
        <f>IF(B51&lt;0, 0, IF(MOD(A51,$F$3)&lt;$F$3*$F$4/100, $B$4/2, 0))</f>
        <v>1.5</v>
      </c>
    </row>
    <row r="53" spans="1:4" x14ac:dyDescent="0.3">
      <c r="A53" s="1">
        <f>A52+$A$15</f>
        <v>3.9000000000000021</v>
      </c>
      <c r="B53" s="1">
        <f t="shared" si="0"/>
        <v>3.6519230769230777</v>
      </c>
      <c r="C53" s="1">
        <f t="shared" si="1"/>
        <v>3.6519230769230777</v>
      </c>
      <c r="D53" s="1">
        <f>IF(B52&lt;0, 0, IF(MOD(A52,$F$3)&lt;$F$3*$F$4/100, $B$4/2, 0))</f>
        <v>1.5</v>
      </c>
    </row>
    <row r="54" spans="1:4" x14ac:dyDescent="0.3">
      <c r="A54" s="1">
        <f>A53+$A$15</f>
        <v>4.0000000000000018</v>
      </c>
      <c r="B54" s="1">
        <f t="shared" si="0"/>
        <v>3.7019230769230775</v>
      </c>
      <c r="C54" s="1">
        <f t="shared" si="1"/>
        <v>3.7019230769230775</v>
      </c>
      <c r="D54" s="1">
        <f>IF(B53&lt;0, 0, IF(MOD(A53,$F$3)&lt;$F$3*$F$4/100, $B$4/2, 0))</f>
        <v>1.5</v>
      </c>
    </row>
    <row r="55" spans="1:4" x14ac:dyDescent="0.3">
      <c r="A55" s="1">
        <f>A54+$A$15</f>
        <v>4.1000000000000014</v>
      </c>
      <c r="B55" s="1">
        <f t="shared" si="0"/>
        <v>3.7519230769230774</v>
      </c>
      <c r="C55" s="1">
        <f t="shared" si="1"/>
        <v>3.7519230769230774</v>
      </c>
      <c r="D55" s="1">
        <f>IF(B54&lt;0, 0, IF(MOD(A54,$F$3)&lt;$F$3*$F$4/100, $B$4/2, 0))</f>
        <v>1.5</v>
      </c>
    </row>
    <row r="56" spans="1:4" x14ac:dyDescent="0.3">
      <c r="A56" s="1">
        <f>A55+$A$15</f>
        <v>4.2000000000000011</v>
      </c>
      <c r="B56" s="1">
        <f t="shared" si="0"/>
        <v>3.8019230769230772</v>
      </c>
      <c r="C56" s="1">
        <f t="shared" si="1"/>
        <v>3.8019230769230772</v>
      </c>
      <c r="D56" s="1">
        <f>IF(B55&lt;0, 0, IF(MOD(A55,$F$3)&lt;$F$3*$F$4/100, $B$4/2, 0))</f>
        <v>1.5</v>
      </c>
    </row>
    <row r="57" spans="1:4" x14ac:dyDescent="0.3">
      <c r="A57" s="1">
        <f>A56+$A$15</f>
        <v>4.3000000000000007</v>
      </c>
      <c r="B57" s="1">
        <f t="shared" si="0"/>
        <v>3.851923076923077</v>
      </c>
      <c r="C57" s="1">
        <f t="shared" si="1"/>
        <v>3.851923076923077</v>
      </c>
      <c r="D57" s="1">
        <f>IF(B56&lt;0, 0, IF(MOD(A56,$F$3)&lt;$F$3*$F$4/100, $B$4/2, 0))</f>
        <v>1.5</v>
      </c>
    </row>
    <row r="58" spans="1:4" x14ac:dyDescent="0.3">
      <c r="A58" s="1">
        <f>A57+$A$15</f>
        <v>4.4000000000000004</v>
      </c>
      <c r="B58" s="1">
        <f t="shared" si="0"/>
        <v>3.9019230769230768</v>
      </c>
      <c r="C58" s="1">
        <f t="shared" si="1"/>
        <v>3.9019230769230768</v>
      </c>
      <c r="D58" s="1">
        <f>IF(B57&lt;0, 0, IF(MOD(A57,$F$3)&lt;$F$3*$F$4/100, $B$4/2, 0))</f>
        <v>1.5</v>
      </c>
    </row>
    <row r="59" spans="1:4" x14ac:dyDescent="0.3">
      <c r="A59" s="1">
        <f>A58+$A$15</f>
        <v>4.5</v>
      </c>
      <c r="B59" s="1">
        <f t="shared" si="0"/>
        <v>3.9519230769230766</v>
      </c>
      <c r="C59" s="1">
        <f t="shared" si="1"/>
        <v>3.9519230769230766</v>
      </c>
      <c r="D59" s="1">
        <f>IF(B58&lt;0, 0, IF(MOD(A58,$F$3)&lt;$F$3*$F$4/100, $B$4/2, 0))</f>
        <v>1.5</v>
      </c>
    </row>
    <row r="60" spans="1:4" x14ac:dyDescent="0.3">
      <c r="A60" s="1">
        <f>A59+$A$15</f>
        <v>4.5999999999999996</v>
      </c>
      <c r="B60" s="1">
        <f t="shared" si="0"/>
        <v>4.0019230769230765</v>
      </c>
      <c r="C60" s="1">
        <f t="shared" si="1"/>
        <v>4.0019230769230765</v>
      </c>
      <c r="D60" s="1">
        <f>IF(B59&lt;0, 0, IF(MOD(A59,$F$3)&lt;$F$3*$F$4/100, $B$4/2, 0))</f>
        <v>1.5</v>
      </c>
    </row>
    <row r="61" spans="1:4" x14ac:dyDescent="0.3">
      <c r="A61" s="1">
        <f>A60+$A$15</f>
        <v>4.6999999999999993</v>
      </c>
      <c r="B61" s="1">
        <f t="shared" si="0"/>
        <v>4.0519230769230763</v>
      </c>
      <c r="C61" s="1">
        <f t="shared" si="1"/>
        <v>4.0519230769230763</v>
      </c>
      <c r="D61" s="1">
        <f>IF(B60&lt;0, 0, IF(MOD(A60,$F$3)&lt;$F$3*$F$4/100, $B$4/2, 0))</f>
        <v>1.5</v>
      </c>
    </row>
    <row r="62" spans="1:4" x14ac:dyDescent="0.3">
      <c r="A62" s="1">
        <f>A61+$A$15</f>
        <v>4.7999999999999989</v>
      </c>
      <c r="B62" s="1">
        <f t="shared" si="0"/>
        <v>4.1019230769230761</v>
      </c>
      <c r="C62" s="1">
        <f t="shared" si="1"/>
        <v>4.1019230769230761</v>
      </c>
      <c r="D62" s="1">
        <f>IF(B61&lt;0, 0, IF(MOD(A61,$F$3)&lt;$F$3*$F$4/100, $B$4/2, 0))</f>
        <v>1.5</v>
      </c>
    </row>
    <row r="63" spans="1:4" x14ac:dyDescent="0.3">
      <c r="A63" s="1">
        <f>A62+$A$15</f>
        <v>4.8999999999999986</v>
      </c>
      <c r="B63" s="1">
        <f t="shared" si="0"/>
        <v>4.1519230769230759</v>
      </c>
      <c r="C63" s="1">
        <f t="shared" si="1"/>
        <v>4.1519230769230759</v>
      </c>
      <c r="D63" s="1">
        <f>IF(B62&lt;0, 0, IF(MOD(A62,$F$3)&lt;$F$3*$F$4/100, $B$4/2, 0))</f>
        <v>1.5</v>
      </c>
    </row>
    <row r="64" spans="1:4" x14ac:dyDescent="0.3">
      <c r="A64" s="1">
        <f>A63+$A$15</f>
        <v>4.9999999999999982</v>
      </c>
      <c r="B64" s="1">
        <f t="shared" si="0"/>
        <v>4.2019230769230758</v>
      </c>
      <c r="C64" s="1">
        <f t="shared" si="1"/>
        <v>4.2019230769230758</v>
      </c>
      <c r="D64" s="1">
        <f>IF(B63&lt;0, 0, IF(MOD(A63,$F$3)&lt;$F$3*$F$4/100, $B$4/2, 0))</f>
        <v>1.5</v>
      </c>
    </row>
    <row r="65" spans="1:4" x14ac:dyDescent="0.3">
      <c r="A65" s="1">
        <f>A64+$A$15</f>
        <v>5.0999999999999979</v>
      </c>
      <c r="B65" s="1">
        <f t="shared" si="0"/>
        <v>4.2480769230769244</v>
      </c>
      <c r="C65" s="1">
        <f t="shared" si="1"/>
        <v>4.2480769230769244</v>
      </c>
      <c r="D65" s="1">
        <f>IF(B64&lt;0, 0, IF(MOD(A64,$F$3)&lt;$F$3*$F$4/100, $B$4/2, 0))</f>
        <v>0</v>
      </c>
    </row>
    <row r="66" spans="1:4" x14ac:dyDescent="0.3">
      <c r="A66" s="1">
        <f>A65+$A$15</f>
        <v>5.1999999999999975</v>
      </c>
      <c r="B66" s="1">
        <f t="shared" si="0"/>
        <v>4.1980769230769246</v>
      </c>
      <c r="C66" s="1">
        <f t="shared" si="1"/>
        <v>4.1980769230769246</v>
      </c>
      <c r="D66" s="1">
        <f>IF(B65&lt;0, 0, IF(MOD(A65,$F$3)&lt;$F$3*$F$4/100, $B$4/2, 0))</f>
        <v>0</v>
      </c>
    </row>
    <row r="67" spans="1:4" x14ac:dyDescent="0.3">
      <c r="A67" s="1">
        <f>A66+$A$15</f>
        <v>5.2999999999999972</v>
      </c>
      <c r="B67" s="1">
        <f t="shared" si="0"/>
        <v>4.1480769230769248</v>
      </c>
      <c r="C67" s="1">
        <f t="shared" si="1"/>
        <v>4.1480769230769248</v>
      </c>
      <c r="D67" s="1">
        <f>IF(B66&lt;0, 0, IF(MOD(A66,$F$3)&lt;$F$3*$F$4/100, $B$4/2, 0))</f>
        <v>0</v>
      </c>
    </row>
    <row r="68" spans="1:4" x14ac:dyDescent="0.3">
      <c r="A68" s="1">
        <f>A67+$A$15</f>
        <v>5.3999999999999968</v>
      </c>
      <c r="B68" s="1">
        <f t="shared" si="0"/>
        <v>4.0980769230769249</v>
      </c>
      <c r="C68" s="1">
        <f t="shared" si="1"/>
        <v>4.0980769230769249</v>
      </c>
      <c r="D68" s="1">
        <f>IF(B67&lt;0, 0, IF(MOD(A67,$F$3)&lt;$F$3*$F$4/100, $B$4/2, 0))</f>
        <v>0</v>
      </c>
    </row>
    <row r="69" spans="1:4" x14ac:dyDescent="0.3">
      <c r="A69" s="1">
        <f>A68+$A$15</f>
        <v>5.4999999999999964</v>
      </c>
      <c r="B69" s="1">
        <f t="shared" si="0"/>
        <v>4.0480769230769251</v>
      </c>
      <c r="C69" s="1">
        <f t="shared" si="1"/>
        <v>4.0480769230769251</v>
      </c>
      <c r="D69" s="1">
        <f>IF(B68&lt;0, 0, IF(MOD(A68,$F$3)&lt;$F$3*$F$4/100, $B$4/2, 0))</f>
        <v>0</v>
      </c>
    </row>
    <row r="70" spans="1:4" x14ac:dyDescent="0.3">
      <c r="A70" s="1">
        <f>A69+$A$15</f>
        <v>5.5999999999999961</v>
      </c>
      <c r="B70" s="1">
        <f t="shared" si="0"/>
        <v>3.9980769230769253</v>
      </c>
      <c r="C70" s="1">
        <f t="shared" si="1"/>
        <v>3.9980769230769253</v>
      </c>
      <c r="D70" s="1">
        <f>IF(B69&lt;0, 0, IF(MOD(A69,$F$3)&lt;$F$3*$F$4/100, $B$4/2, 0))</f>
        <v>0</v>
      </c>
    </row>
    <row r="71" spans="1:4" x14ac:dyDescent="0.3">
      <c r="A71" s="1">
        <f>A70+$A$15</f>
        <v>5.6999999999999957</v>
      </c>
      <c r="B71" s="1">
        <f t="shared" si="0"/>
        <v>3.9480769230769255</v>
      </c>
      <c r="C71" s="1">
        <f t="shared" si="1"/>
        <v>3.9480769230769255</v>
      </c>
      <c r="D71" s="1">
        <f>IF(B70&lt;0, 0, IF(MOD(A70,$F$3)&lt;$F$3*$F$4/100, $B$4/2, 0))</f>
        <v>0</v>
      </c>
    </row>
    <row r="72" spans="1:4" x14ac:dyDescent="0.3">
      <c r="A72" s="1">
        <f>A71+$A$15</f>
        <v>5.7999999999999954</v>
      </c>
      <c r="B72" s="1">
        <f t="shared" si="0"/>
        <v>3.8980769230769257</v>
      </c>
      <c r="C72" s="1">
        <f t="shared" si="1"/>
        <v>3.8980769230769257</v>
      </c>
      <c r="D72" s="1">
        <f>IF(B71&lt;0, 0, IF(MOD(A71,$F$3)&lt;$F$3*$F$4/100, $B$4/2, 0))</f>
        <v>0</v>
      </c>
    </row>
    <row r="73" spans="1:4" x14ac:dyDescent="0.3">
      <c r="A73" s="1">
        <f>A72+$A$15</f>
        <v>5.899999999999995</v>
      </c>
      <c r="B73" s="1">
        <f t="shared" si="0"/>
        <v>3.8480769230769258</v>
      </c>
      <c r="C73" s="1">
        <f t="shared" si="1"/>
        <v>3.8480769230769258</v>
      </c>
      <c r="D73" s="1">
        <f>IF(B72&lt;0, 0, IF(MOD(A72,$F$3)&lt;$F$3*$F$4/100, $B$4/2, 0))</f>
        <v>0</v>
      </c>
    </row>
    <row r="74" spans="1:4" x14ac:dyDescent="0.3">
      <c r="A74" s="1">
        <f>A73+$A$15</f>
        <v>5.9999999999999947</v>
      </c>
      <c r="B74" s="1">
        <f t="shared" si="0"/>
        <v>3.798076923076926</v>
      </c>
      <c r="C74" s="1">
        <f t="shared" si="1"/>
        <v>3.798076923076926</v>
      </c>
      <c r="D74" s="1">
        <f>IF(B73&lt;0, 0, IF(MOD(A73,$F$3)&lt;$F$3*$F$4/100, $B$4/2, 0))</f>
        <v>0</v>
      </c>
    </row>
    <row r="75" spans="1:4" x14ac:dyDescent="0.3">
      <c r="A75" s="1">
        <f>A74+$A$15</f>
        <v>6.0999999999999943</v>
      </c>
      <c r="B75" s="1">
        <f t="shared" si="0"/>
        <v>3.7480769230769262</v>
      </c>
      <c r="C75" s="1">
        <f t="shared" si="1"/>
        <v>3.7480769230769262</v>
      </c>
      <c r="D75" s="1">
        <f>IF(B74&lt;0, 0, IF(MOD(A74,$F$3)&lt;$F$3*$F$4/100, $B$4/2, 0))</f>
        <v>0</v>
      </c>
    </row>
    <row r="76" spans="1:4" x14ac:dyDescent="0.3">
      <c r="A76" s="1">
        <f>A75+$A$15</f>
        <v>6.199999999999994</v>
      </c>
      <c r="B76" s="1">
        <f t="shared" si="0"/>
        <v>3.6980769230769264</v>
      </c>
      <c r="C76" s="1">
        <f t="shared" si="1"/>
        <v>3.6980769230769264</v>
      </c>
      <c r="D76" s="1">
        <f>IF(B75&lt;0, 0, IF(MOD(A75,$F$3)&lt;$F$3*$F$4/100, $B$4/2, 0))</f>
        <v>0</v>
      </c>
    </row>
    <row r="77" spans="1:4" x14ac:dyDescent="0.3">
      <c r="A77" s="1">
        <f>A76+$A$15</f>
        <v>6.2999999999999936</v>
      </c>
      <c r="B77" s="1">
        <f t="shared" si="0"/>
        <v>3.6480769230769265</v>
      </c>
      <c r="C77" s="1">
        <f t="shared" si="1"/>
        <v>3.6480769230769265</v>
      </c>
      <c r="D77" s="1">
        <f>IF(B76&lt;0, 0, IF(MOD(A76,$F$3)&lt;$F$3*$F$4/100, $B$4/2, 0))</f>
        <v>0</v>
      </c>
    </row>
    <row r="78" spans="1:4" x14ac:dyDescent="0.3">
      <c r="A78" s="1">
        <f>A77+$A$15</f>
        <v>6.3999999999999932</v>
      </c>
      <c r="B78" s="1">
        <f t="shared" ref="B78:B141" si="2">IF(MOD(A78,$F$3)&lt;=$F$5,$F$19 + $F$21 * MOD(A78,$F$3),$F$20 + $F$22 * (MOD(A78,$F$3)-$F$5))</f>
        <v>3.5980769230769267</v>
      </c>
      <c r="C78" s="1">
        <f t="shared" si="1"/>
        <v>3.5980769230769267</v>
      </c>
      <c r="D78" s="1">
        <f>IF(B77&lt;0, 0, IF(MOD(A77,$F$3)&lt;$F$3*$F$4/100, $B$4/2, 0))</f>
        <v>0</v>
      </c>
    </row>
    <row r="79" spans="1:4" x14ac:dyDescent="0.3">
      <c r="A79" s="1">
        <f>A78+$A$15</f>
        <v>6.4999999999999929</v>
      </c>
      <c r="B79" s="1">
        <f t="shared" si="2"/>
        <v>3.5480769230769269</v>
      </c>
      <c r="C79" s="1">
        <f t="shared" ref="C79:C142" si="3">IF(B79&gt;=0,B79,0)</f>
        <v>3.5480769230769269</v>
      </c>
      <c r="D79" s="1">
        <f>IF(B78&lt;0, 0, IF(MOD(A78,$F$3)&lt;$F$3*$F$4/100, $B$4/2, 0))</f>
        <v>0</v>
      </c>
    </row>
    <row r="80" spans="1:4" x14ac:dyDescent="0.3">
      <c r="A80" s="1">
        <f>A79+$A$15</f>
        <v>6.5999999999999925</v>
      </c>
      <c r="B80" s="1">
        <f t="shared" si="2"/>
        <v>3.4980769230769271</v>
      </c>
      <c r="C80" s="1">
        <f t="shared" si="3"/>
        <v>3.4980769230769271</v>
      </c>
      <c r="D80" s="1">
        <f>IF(B79&lt;0, 0, IF(MOD(A79,$F$3)&lt;$F$3*$F$4/100, $B$4/2, 0))</f>
        <v>0</v>
      </c>
    </row>
    <row r="81" spans="1:4" x14ac:dyDescent="0.3">
      <c r="A81" s="1">
        <f>A80+$A$15</f>
        <v>6.6999999999999922</v>
      </c>
      <c r="B81" s="1">
        <f t="shared" si="2"/>
        <v>3.4480769230769273</v>
      </c>
      <c r="C81" s="1">
        <f t="shared" si="3"/>
        <v>3.4480769230769273</v>
      </c>
      <c r="D81" s="1">
        <f>IF(B80&lt;0, 0, IF(MOD(A80,$F$3)&lt;$F$3*$F$4/100, $B$4/2, 0))</f>
        <v>0</v>
      </c>
    </row>
    <row r="82" spans="1:4" x14ac:dyDescent="0.3">
      <c r="A82" s="1">
        <f>A81+$A$15</f>
        <v>6.7999999999999918</v>
      </c>
      <c r="B82" s="1">
        <f t="shared" si="2"/>
        <v>3.3980769230769274</v>
      </c>
      <c r="C82" s="1">
        <f t="shared" si="3"/>
        <v>3.3980769230769274</v>
      </c>
      <c r="D82" s="1">
        <f>IF(B81&lt;0, 0, IF(MOD(A81,$F$3)&lt;$F$3*$F$4/100, $B$4/2, 0))</f>
        <v>0</v>
      </c>
    </row>
    <row r="83" spans="1:4" x14ac:dyDescent="0.3">
      <c r="A83" s="1">
        <f>A82+$A$15</f>
        <v>6.8999999999999915</v>
      </c>
      <c r="B83" s="1">
        <f t="shared" si="2"/>
        <v>3.3480769230769276</v>
      </c>
      <c r="C83" s="1">
        <f t="shared" si="3"/>
        <v>3.3480769230769276</v>
      </c>
      <c r="D83" s="1">
        <f>IF(B82&lt;0, 0, IF(MOD(A82,$F$3)&lt;$F$3*$F$4/100, $B$4/2, 0))</f>
        <v>0</v>
      </c>
    </row>
    <row r="84" spans="1:4" x14ac:dyDescent="0.3">
      <c r="A84" s="1">
        <f>A83+$A$15</f>
        <v>6.9999999999999911</v>
      </c>
      <c r="B84" s="1">
        <f t="shared" si="2"/>
        <v>3.2980769230769278</v>
      </c>
      <c r="C84" s="1">
        <f t="shared" si="3"/>
        <v>3.2980769230769278</v>
      </c>
      <c r="D84" s="1">
        <f>IF(B83&lt;0, 0, IF(MOD(A83,$F$3)&lt;$F$3*$F$4/100, $B$4/2, 0))</f>
        <v>0</v>
      </c>
    </row>
    <row r="85" spans="1:4" x14ac:dyDescent="0.3">
      <c r="A85" s="1">
        <f>A84+$A$15</f>
        <v>7.0999999999999908</v>
      </c>
      <c r="B85" s="1">
        <f t="shared" si="2"/>
        <v>3.248076923076928</v>
      </c>
      <c r="C85" s="1">
        <f t="shared" si="3"/>
        <v>3.248076923076928</v>
      </c>
      <c r="D85" s="1">
        <f>IF(B84&lt;0, 0, IF(MOD(A84,$F$3)&lt;$F$3*$F$4/100, $B$4/2, 0))</f>
        <v>0</v>
      </c>
    </row>
    <row r="86" spans="1:4" x14ac:dyDescent="0.3">
      <c r="A86" s="1">
        <f>A85+$A$15</f>
        <v>7.1999999999999904</v>
      </c>
      <c r="B86" s="1">
        <f t="shared" si="2"/>
        <v>3.1980769230769281</v>
      </c>
      <c r="C86" s="1">
        <f t="shared" si="3"/>
        <v>3.1980769230769281</v>
      </c>
      <c r="D86" s="1">
        <f>IF(B85&lt;0, 0, IF(MOD(A85,$F$3)&lt;$F$3*$F$4/100, $B$4/2, 0))</f>
        <v>0</v>
      </c>
    </row>
    <row r="87" spans="1:4" x14ac:dyDescent="0.3">
      <c r="A87" s="1">
        <f>A86+$A$15</f>
        <v>7.2999999999999901</v>
      </c>
      <c r="B87" s="1">
        <f t="shared" si="2"/>
        <v>3.1480769230769283</v>
      </c>
      <c r="C87" s="1">
        <f t="shared" si="3"/>
        <v>3.1480769230769283</v>
      </c>
      <c r="D87" s="1">
        <f>IF(B86&lt;0, 0, IF(MOD(A86,$F$3)&lt;$F$3*$F$4/100, $B$4/2, 0))</f>
        <v>0</v>
      </c>
    </row>
    <row r="88" spans="1:4" x14ac:dyDescent="0.3">
      <c r="A88" s="1">
        <f>A87+$A$15</f>
        <v>7.3999999999999897</v>
      </c>
      <c r="B88" s="1">
        <f t="shared" si="2"/>
        <v>3.0980769230769285</v>
      </c>
      <c r="C88" s="1">
        <f t="shared" si="3"/>
        <v>3.0980769230769285</v>
      </c>
      <c r="D88" s="1">
        <f>IF(B87&lt;0, 0, IF(MOD(A87,$F$3)&lt;$F$3*$F$4/100, $B$4/2, 0))</f>
        <v>0</v>
      </c>
    </row>
    <row r="89" spans="1:4" x14ac:dyDescent="0.3">
      <c r="A89" s="1">
        <f>A88+$A$15</f>
        <v>7.4999999999999893</v>
      </c>
      <c r="B89" s="1">
        <f t="shared" si="2"/>
        <v>3.0480769230769287</v>
      </c>
      <c r="C89" s="1">
        <f t="shared" si="3"/>
        <v>3.0480769230769287</v>
      </c>
      <c r="D89" s="1">
        <f>IF(B88&lt;0, 0, IF(MOD(A88,$F$3)&lt;$F$3*$F$4/100, $B$4/2, 0))</f>
        <v>0</v>
      </c>
    </row>
    <row r="90" spans="1:4" x14ac:dyDescent="0.3">
      <c r="A90" s="1">
        <f>A89+$A$15</f>
        <v>7.599999999999989</v>
      </c>
      <c r="B90" s="1">
        <f t="shared" si="2"/>
        <v>2.9980769230769289</v>
      </c>
      <c r="C90" s="1">
        <f t="shared" si="3"/>
        <v>2.9980769230769289</v>
      </c>
      <c r="D90" s="1">
        <f>IF(B89&lt;0, 0, IF(MOD(A89,$F$3)&lt;$F$3*$F$4/100, $B$4/2, 0))</f>
        <v>0</v>
      </c>
    </row>
    <row r="91" spans="1:4" x14ac:dyDescent="0.3">
      <c r="A91" s="1">
        <f>A90+$A$15</f>
        <v>7.6999999999999886</v>
      </c>
      <c r="B91" s="1">
        <f t="shared" si="2"/>
        <v>2.948076923076929</v>
      </c>
      <c r="C91" s="1">
        <f t="shared" si="3"/>
        <v>2.948076923076929</v>
      </c>
      <c r="D91" s="1">
        <f>IF(B90&lt;0, 0, IF(MOD(A90,$F$3)&lt;$F$3*$F$4/100, $B$4/2, 0))</f>
        <v>0</v>
      </c>
    </row>
    <row r="92" spans="1:4" x14ac:dyDescent="0.3">
      <c r="A92" s="1">
        <f>A91+$A$15</f>
        <v>7.7999999999999883</v>
      </c>
      <c r="B92" s="1">
        <f t="shared" si="2"/>
        <v>2.8980769230769292</v>
      </c>
      <c r="C92" s="1">
        <f t="shared" si="3"/>
        <v>2.8980769230769292</v>
      </c>
      <c r="D92" s="1">
        <f>IF(B91&lt;0, 0, IF(MOD(A91,$F$3)&lt;$F$3*$F$4/100, $B$4/2, 0))</f>
        <v>0</v>
      </c>
    </row>
    <row r="93" spans="1:4" x14ac:dyDescent="0.3">
      <c r="A93" s="1">
        <f>A92+$A$15</f>
        <v>7.8999999999999879</v>
      </c>
      <c r="B93" s="1">
        <f t="shared" si="2"/>
        <v>2.8480769230769294</v>
      </c>
      <c r="C93" s="1">
        <f t="shared" si="3"/>
        <v>2.8480769230769294</v>
      </c>
      <c r="D93" s="1">
        <f>IF(B92&lt;0, 0, IF(MOD(A92,$F$3)&lt;$F$3*$F$4/100, $B$4/2, 0))</f>
        <v>0</v>
      </c>
    </row>
    <row r="94" spans="1:4" x14ac:dyDescent="0.3">
      <c r="A94" s="1">
        <f>A93+$A$15</f>
        <v>7.9999999999999876</v>
      </c>
      <c r="B94" s="1">
        <f t="shared" si="2"/>
        <v>2.7980769230769296</v>
      </c>
      <c r="C94" s="1">
        <f t="shared" si="3"/>
        <v>2.7980769230769296</v>
      </c>
      <c r="D94" s="1">
        <f>IF(B93&lt;0, 0, IF(MOD(A93,$F$3)&lt;$F$3*$F$4/100, $B$4/2, 0))</f>
        <v>0</v>
      </c>
    </row>
    <row r="95" spans="1:4" x14ac:dyDescent="0.3">
      <c r="A95" s="1">
        <f>A94+$A$15</f>
        <v>8.0999999999999872</v>
      </c>
      <c r="B95" s="1">
        <f t="shared" si="2"/>
        <v>2.7480769230769297</v>
      </c>
      <c r="C95" s="1">
        <f t="shared" si="3"/>
        <v>2.7480769230769297</v>
      </c>
      <c r="D95" s="1">
        <f>IF(B94&lt;0, 0, IF(MOD(A94,$F$3)&lt;$F$3*$F$4/100, $B$4/2, 0))</f>
        <v>0</v>
      </c>
    </row>
    <row r="96" spans="1:4" x14ac:dyDescent="0.3">
      <c r="A96" s="1">
        <f>A95+$A$15</f>
        <v>8.1999999999999869</v>
      </c>
      <c r="B96" s="1">
        <f t="shared" si="2"/>
        <v>2.6980769230769299</v>
      </c>
      <c r="C96" s="1">
        <f t="shared" si="3"/>
        <v>2.6980769230769299</v>
      </c>
      <c r="D96" s="1">
        <f>IF(B95&lt;0, 0, IF(MOD(A95,$F$3)&lt;$F$3*$F$4/100, $B$4/2, 0))</f>
        <v>0</v>
      </c>
    </row>
    <row r="97" spans="1:4" x14ac:dyDescent="0.3">
      <c r="A97" s="1">
        <f>A96+$A$15</f>
        <v>8.2999999999999865</v>
      </c>
      <c r="B97" s="1">
        <f t="shared" si="2"/>
        <v>2.6480769230769301</v>
      </c>
      <c r="C97" s="1">
        <f t="shared" si="3"/>
        <v>2.6480769230769301</v>
      </c>
      <c r="D97" s="1">
        <f>IF(B96&lt;0, 0, IF(MOD(A96,$F$3)&lt;$F$3*$F$4/100, $B$4/2, 0))</f>
        <v>0</v>
      </c>
    </row>
    <row r="98" spans="1:4" x14ac:dyDescent="0.3">
      <c r="A98" s="1">
        <f>A97+$A$15</f>
        <v>8.3999999999999861</v>
      </c>
      <c r="B98" s="1">
        <f t="shared" si="2"/>
        <v>2.5980769230769303</v>
      </c>
      <c r="C98" s="1">
        <f t="shared" si="3"/>
        <v>2.5980769230769303</v>
      </c>
      <c r="D98" s="1">
        <f>IF(B97&lt;0, 0, IF(MOD(A97,$F$3)&lt;$F$3*$F$4/100, $B$4/2, 0))</f>
        <v>0</v>
      </c>
    </row>
    <row r="99" spans="1:4" x14ac:dyDescent="0.3">
      <c r="A99" s="1">
        <f>A98+$A$15</f>
        <v>8.4999999999999858</v>
      </c>
      <c r="B99" s="1">
        <f t="shared" si="2"/>
        <v>2.5480769230769305</v>
      </c>
      <c r="C99" s="1">
        <f t="shared" si="3"/>
        <v>2.5480769230769305</v>
      </c>
      <c r="D99" s="1">
        <f>IF(B98&lt;0, 0, IF(MOD(A98,$F$3)&lt;$F$3*$F$4/100, $B$4/2, 0))</f>
        <v>0</v>
      </c>
    </row>
    <row r="100" spans="1:4" x14ac:dyDescent="0.3">
      <c r="A100" s="1">
        <f>A99+$A$15</f>
        <v>8.5999999999999854</v>
      </c>
      <c r="B100" s="1">
        <f t="shared" si="2"/>
        <v>2.4980769230769306</v>
      </c>
      <c r="C100" s="1">
        <f t="shared" si="3"/>
        <v>2.4980769230769306</v>
      </c>
      <c r="D100" s="1">
        <f>IF(B99&lt;0, 0, IF(MOD(A99,$F$3)&lt;$F$3*$F$4/100, $B$4/2, 0))</f>
        <v>0</v>
      </c>
    </row>
    <row r="101" spans="1:4" x14ac:dyDescent="0.3">
      <c r="A101" s="1">
        <f>A100+$A$15</f>
        <v>8.6999999999999851</v>
      </c>
      <c r="B101" s="1">
        <f t="shared" si="2"/>
        <v>2.4480769230769308</v>
      </c>
      <c r="C101" s="1">
        <f t="shared" si="3"/>
        <v>2.4480769230769308</v>
      </c>
      <c r="D101" s="1">
        <f>IF(B100&lt;0, 0, IF(MOD(A100,$F$3)&lt;$F$3*$F$4/100, $B$4/2, 0))</f>
        <v>0</v>
      </c>
    </row>
    <row r="102" spans="1:4" x14ac:dyDescent="0.3">
      <c r="A102" s="1">
        <f>A101+$A$15</f>
        <v>8.7999999999999847</v>
      </c>
      <c r="B102" s="1">
        <f t="shared" si="2"/>
        <v>2.398076923076931</v>
      </c>
      <c r="C102" s="1">
        <f t="shared" si="3"/>
        <v>2.398076923076931</v>
      </c>
      <c r="D102" s="1">
        <f>IF(B101&lt;0, 0, IF(MOD(A101,$F$3)&lt;$F$3*$F$4/100, $B$4/2, 0))</f>
        <v>0</v>
      </c>
    </row>
    <row r="103" spans="1:4" x14ac:dyDescent="0.3">
      <c r="A103" s="1">
        <f>A102+$A$15</f>
        <v>8.8999999999999844</v>
      </c>
      <c r="B103" s="1">
        <f t="shared" si="2"/>
        <v>2.3480769230769312</v>
      </c>
      <c r="C103" s="1">
        <f t="shared" si="3"/>
        <v>2.3480769230769312</v>
      </c>
      <c r="D103" s="1">
        <f>IF(B102&lt;0, 0, IF(MOD(A102,$F$3)&lt;$F$3*$F$4/100, $B$4/2, 0))</f>
        <v>0</v>
      </c>
    </row>
    <row r="104" spans="1:4" x14ac:dyDescent="0.3">
      <c r="A104" s="1">
        <f>A103+$A$15</f>
        <v>8.999999999999984</v>
      </c>
      <c r="B104" s="1">
        <f t="shared" si="2"/>
        <v>2.2980769230769313</v>
      </c>
      <c r="C104" s="1">
        <f t="shared" si="3"/>
        <v>2.2980769230769313</v>
      </c>
      <c r="D104" s="1">
        <f>IF(B103&lt;0, 0, IF(MOD(A103,$F$3)&lt;$F$3*$F$4/100, $B$4/2, 0))</f>
        <v>0</v>
      </c>
    </row>
    <row r="105" spans="1:4" x14ac:dyDescent="0.3">
      <c r="A105" s="1">
        <f>A104+$A$15</f>
        <v>9.0999999999999837</v>
      </c>
      <c r="B105" s="1">
        <f t="shared" si="2"/>
        <v>2.2480769230769315</v>
      </c>
      <c r="C105" s="1">
        <f t="shared" si="3"/>
        <v>2.2480769230769315</v>
      </c>
      <c r="D105" s="1">
        <f>IF(B104&lt;0, 0, IF(MOD(A104,$F$3)&lt;$F$3*$F$4/100, $B$4/2, 0))</f>
        <v>0</v>
      </c>
    </row>
    <row r="106" spans="1:4" x14ac:dyDescent="0.3">
      <c r="A106" s="1">
        <f>A105+$A$15</f>
        <v>9.1999999999999833</v>
      </c>
      <c r="B106" s="1">
        <f t="shared" si="2"/>
        <v>2.1980769230769317</v>
      </c>
      <c r="C106" s="1">
        <f t="shared" si="3"/>
        <v>2.1980769230769317</v>
      </c>
      <c r="D106" s="1">
        <f>IF(B105&lt;0, 0, IF(MOD(A105,$F$3)&lt;$F$3*$F$4/100, $B$4/2, 0))</f>
        <v>0</v>
      </c>
    </row>
    <row r="107" spans="1:4" x14ac:dyDescent="0.3">
      <c r="A107" s="1">
        <f>A106+$A$15</f>
        <v>9.2999999999999829</v>
      </c>
      <c r="B107" s="1">
        <f t="shared" si="2"/>
        <v>2.1480769230769319</v>
      </c>
      <c r="C107" s="1">
        <f t="shared" si="3"/>
        <v>2.1480769230769319</v>
      </c>
      <c r="D107" s="1">
        <f>IF(B106&lt;0, 0, IF(MOD(A106,$F$3)&lt;$F$3*$F$4/100, $B$4/2, 0))</f>
        <v>0</v>
      </c>
    </row>
    <row r="108" spans="1:4" x14ac:dyDescent="0.3">
      <c r="A108" s="1">
        <f>A107+$A$15</f>
        <v>9.3999999999999826</v>
      </c>
      <c r="B108" s="1">
        <f t="shared" si="2"/>
        <v>2.0980769230769321</v>
      </c>
      <c r="C108" s="1">
        <f t="shared" si="3"/>
        <v>2.0980769230769321</v>
      </c>
      <c r="D108" s="1">
        <f>IF(B107&lt;0, 0, IF(MOD(A107,$F$3)&lt;$F$3*$F$4/100, $B$4/2, 0))</f>
        <v>0</v>
      </c>
    </row>
    <row r="109" spans="1:4" x14ac:dyDescent="0.3">
      <c r="A109" s="1">
        <f>A108+$A$15</f>
        <v>9.4999999999999822</v>
      </c>
      <c r="B109" s="1">
        <f t="shared" si="2"/>
        <v>2.0480769230769322</v>
      </c>
      <c r="C109" s="1">
        <f t="shared" si="3"/>
        <v>2.0480769230769322</v>
      </c>
      <c r="D109" s="1">
        <f>IF(B108&lt;0, 0, IF(MOD(A108,$F$3)&lt;$F$3*$F$4/100, $B$4/2, 0))</f>
        <v>0</v>
      </c>
    </row>
    <row r="110" spans="1:4" x14ac:dyDescent="0.3">
      <c r="A110" s="1">
        <f>A109+$A$15</f>
        <v>9.5999999999999819</v>
      </c>
      <c r="B110" s="1">
        <f t="shared" si="2"/>
        <v>1.9980769230769324</v>
      </c>
      <c r="C110" s="1">
        <f t="shared" si="3"/>
        <v>1.9980769230769324</v>
      </c>
      <c r="D110" s="1">
        <f>IF(B109&lt;0, 0, IF(MOD(A109,$F$3)&lt;$F$3*$F$4/100, $B$4/2, 0))</f>
        <v>0</v>
      </c>
    </row>
    <row r="111" spans="1:4" x14ac:dyDescent="0.3">
      <c r="A111" s="1">
        <f>A110+$A$15</f>
        <v>9.6999999999999815</v>
      </c>
      <c r="B111" s="1">
        <f t="shared" si="2"/>
        <v>1.9480769230769326</v>
      </c>
      <c r="C111" s="1">
        <f t="shared" si="3"/>
        <v>1.9480769230769326</v>
      </c>
      <c r="D111" s="1">
        <f>IF(B110&lt;0, 0, IF(MOD(A110,$F$3)&lt;$F$3*$F$4/100, $B$4/2, 0))</f>
        <v>0</v>
      </c>
    </row>
    <row r="112" spans="1:4" x14ac:dyDescent="0.3">
      <c r="A112" s="1">
        <f>A111+$A$15</f>
        <v>9.7999999999999812</v>
      </c>
      <c r="B112" s="1">
        <f t="shared" si="2"/>
        <v>1.8980769230769328</v>
      </c>
      <c r="C112" s="1">
        <f t="shared" si="3"/>
        <v>1.8980769230769328</v>
      </c>
      <c r="D112" s="1">
        <f>IF(B111&lt;0, 0, IF(MOD(A111,$F$3)&lt;$F$3*$F$4/100, $B$4/2, 0))</f>
        <v>0</v>
      </c>
    </row>
    <row r="113" spans="1:4" x14ac:dyDescent="0.3">
      <c r="A113" s="1">
        <f>A112+$A$15</f>
        <v>9.8999999999999808</v>
      </c>
      <c r="B113" s="1">
        <f t="shared" si="2"/>
        <v>1.8480769230769329</v>
      </c>
      <c r="C113" s="1">
        <f t="shared" si="3"/>
        <v>1.8480769230769329</v>
      </c>
      <c r="D113" s="1">
        <f>IF(B112&lt;0, 0, IF(MOD(A112,$F$3)&lt;$F$3*$F$4/100, $B$4/2, 0))</f>
        <v>0</v>
      </c>
    </row>
    <row r="114" spans="1:4" x14ac:dyDescent="0.3">
      <c r="A114" s="1">
        <f>A113+$A$15</f>
        <v>9.9999999999999805</v>
      </c>
      <c r="B114" s="1">
        <f t="shared" si="2"/>
        <v>1.7980769230769331</v>
      </c>
      <c r="C114" s="1">
        <f t="shared" si="3"/>
        <v>1.7980769230769331</v>
      </c>
      <c r="D114" s="1">
        <f>IF(B113&lt;0, 0, IF(MOD(A113,$F$3)&lt;$F$3*$F$4/100, $B$4/2, 0))</f>
        <v>0</v>
      </c>
    </row>
    <row r="115" spans="1:4" x14ac:dyDescent="0.3">
      <c r="A115" s="1">
        <f>A114+$A$15</f>
        <v>10.09999999999998</v>
      </c>
      <c r="B115" s="1">
        <f t="shared" si="2"/>
        <v>1.7519230769230669</v>
      </c>
      <c r="C115" s="1">
        <f t="shared" si="3"/>
        <v>1.7519230769230669</v>
      </c>
      <c r="D115" s="1">
        <f>IF(B114&lt;0, 0, IF(MOD(A114,$F$3)&lt;$F$3*$F$4/100, $B$4/2, 0))</f>
        <v>0</v>
      </c>
    </row>
    <row r="116" spans="1:4" x14ac:dyDescent="0.3">
      <c r="A116" s="1">
        <f>A115+$A$15</f>
        <v>10.19999999999998</v>
      </c>
      <c r="B116" s="1">
        <f t="shared" si="2"/>
        <v>1.8019230769230667</v>
      </c>
      <c r="C116" s="1">
        <f t="shared" si="3"/>
        <v>1.8019230769230667</v>
      </c>
      <c r="D116" s="1">
        <f>IF(B115&lt;0, 0, IF(MOD(A115,$F$3)&lt;$F$3*$F$4/100, $B$4/2, 0))</f>
        <v>1.5</v>
      </c>
    </row>
    <row r="117" spans="1:4" x14ac:dyDescent="0.3">
      <c r="A117" s="1">
        <f>A116+$A$15</f>
        <v>10.299999999999979</v>
      </c>
      <c r="B117" s="1">
        <f t="shared" si="2"/>
        <v>1.8519230769230666</v>
      </c>
      <c r="C117" s="1">
        <f t="shared" si="3"/>
        <v>1.8519230769230666</v>
      </c>
      <c r="D117" s="1">
        <f>IF(B116&lt;0, 0, IF(MOD(A116,$F$3)&lt;$F$3*$F$4/100, $B$4/2, 0))</f>
        <v>1.5</v>
      </c>
    </row>
    <row r="118" spans="1:4" x14ac:dyDescent="0.3">
      <c r="A118" s="1">
        <f>A117+$A$15</f>
        <v>10.399999999999979</v>
      </c>
      <c r="B118" s="1">
        <f t="shared" si="2"/>
        <v>1.9019230769230664</v>
      </c>
      <c r="C118" s="1">
        <f t="shared" si="3"/>
        <v>1.9019230769230664</v>
      </c>
      <c r="D118" s="1">
        <f>IF(B117&lt;0, 0, IF(MOD(A117,$F$3)&lt;$F$3*$F$4/100, $B$4/2, 0))</f>
        <v>1.5</v>
      </c>
    </row>
    <row r="119" spans="1:4" x14ac:dyDescent="0.3">
      <c r="A119" s="1">
        <f>A118+$A$15</f>
        <v>10.499999999999979</v>
      </c>
      <c r="B119" s="1">
        <f t="shared" si="2"/>
        <v>1.9519230769230662</v>
      </c>
      <c r="C119" s="1">
        <f t="shared" si="3"/>
        <v>1.9519230769230662</v>
      </c>
      <c r="D119" s="1">
        <f>IF(B118&lt;0, 0, IF(MOD(A118,$F$3)&lt;$F$3*$F$4/100, $B$4/2, 0))</f>
        <v>1.5</v>
      </c>
    </row>
    <row r="120" spans="1:4" x14ac:dyDescent="0.3">
      <c r="A120" s="1">
        <f>A119+$A$15</f>
        <v>10.599999999999978</v>
      </c>
      <c r="B120" s="1">
        <f t="shared" si="2"/>
        <v>2.0019230769230658</v>
      </c>
      <c r="C120" s="1">
        <f t="shared" si="3"/>
        <v>2.0019230769230658</v>
      </c>
      <c r="D120" s="1">
        <f>IF(B119&lt;0, 0, IF(MOD(A119,$F$3)&lt;$F$3*$F$4/100, $B$4/2, 0))</f>
        <v>1.5</v>
      </c>
    </row>
    <row r="121" spans="1:4" x14ac:dyDescent="0.3">
      <c r="A121" s="1">
        <f>A120+$A$15</f>
        <v>10.699999999999978</v>
      </c>
      <c r="B121" s="1">
        <f t="shared" si="2"/>
        <v>2.0519230769230656</v>
      </c>
      <c r="C121" s="1">
        <f t="shared" si="3"/>
        <v>2.0519230769230656</v>
      </c>
      <c r="D121" s="1">
        <f>IF(B120&lt;0, 0, IF(MOD(A120,$F$3)&lt;$F$3*$F$4/100, $B$4/2, 0))</f>
        <v>1.5</v>
      </c>
    </row>
    <row r="122" spans="1:4" x14ac:dyDescent="0.3">
      <c r="A122" s="1">
        <f>A121+$A$15</f>
        <v>10.799999999999978</v>
      </c>
      <c r="B122" s="1">
        <f t="shared" si="2"/>
        <v>2.1019230769230655</v>
      </c>
      <c r="C122" s="1">
        <f t="shared" si="3"/>
        <v>2.1019230769230655</v>
      </c>
      <c r="D122" s="1">
        <f>IF(B121&lt;0, 0, IF(MOD(A121,$F$3)&lt;$F$3*$F$4/100, $B$4/2, 0))</f>
        <v>1.5</v>
      </c>
    </row>
    <row r="123" spans="1:4" x14ac:dyDescent="0.3">
      <c r="A123" s="1">
        <f>A122+$A$15</f>
        <v>10.899999999999977</v>
      </c>
      <c r="B123" s="1">
        <f t="shared" si="2"/>
        <v>2.1519230769230653</v>
      </c>
      <c r="C123" s="1">
        <f t="shared" si="3"/>
        <v>2.1519230769230653</v>
      </c>
      <c r="D123" s="1">
        <f>IF(B122&lt;0, 0, IF(MOD(A122,$F$3)&lt;$F$3*$F$4/100, $B$4/2, 0))</f>
        <v>1.5</v>
      </c>
    </row>
    <row r="124" spans="1:4" x14ac:dyDescent="0.3">
      <c r="A124" s="1">
        <f>A123+$A$15</f>
        <v>10.999999999999977</v>
      </c>
      <c r="B124" s="1">
        <f t="shared" si="2"/>
        <v>2.2019230769230651</v>
      </c>
      <c r="C124" s="1">
        <f t="shared" si="3"/>
        <v>2.2019230769230651</v>
      </c>
      <c r="D124" s="1">
        <f>IF(B123&lt;0, 0, IF(MOD(A123,$F$3)&lt;$F$3*$F$4/100, $B$4/2, 0))</f>
        <v>1.5</v>
      </c>
    </row>
    <row r="125" spans="1:4" x14ac:dyDescent="0.3">
      <c r="A125" s="1">
        <f>A124+$A$15</f>
        <v>11.099999999999977</v>
      </c>
      <c r="B125" s="1">
        <f t="shared" si="2"/>
        <v>2.2519230769230649</v>
      </c>
      <c r="C125" s="1">
        <f t="shared" si="3"/>
        <v>2.2519230769230649</v>
      </c>
      <c r="D125" s="1">
        <f>IF(B124&lt;0, 0, IF(MOD(A124,$F$3)&lt;$F$3*$F$4/100, $B$4/2, 0))</f>
        <v>1.5</v>
      </c>
    </row>
    <row r="126" spans="1:4" x14ac:dyDescent="0.3">
      <c r="A126" s="1">
        <f>A125+$A$15</f>
        <v>11.199999999999976</v>
      </c>
      <c r="B126" s="1">
        <f t="shared" si="2"/>
        <v>2.3019230769230647</v>
      </c>
      <c r="C126" s="1">
        <f t="shared" si="3"/>
        <v>2.3019230769230647</v>
      </c>
      <c r="D126" s="1">
        <f>IF(B125&lt;0, 0, IF(MOD(A125,$F$3)&lt;$F$3*$F$4/100, $B$4/2, 0))</f>
        <v>1.5</v>
      </c>
    </row>
    <row r="127" spans="1:4" x14ac:dyDescent="0.3">
      <c r="A127" s="1">
        <f>A126+$A$15</f>
        <v>11.299999999999976</v>
      </c>
      <c r="B127" s="1">
        <f t="shared" si="2"/>
        <v>2.3519230769230646</v>
      </c>
      <c r="C127" s="1">
        <f t="shared" si="3"/>
        <v>2.3519230769230646</v>
      </c>
      <c r="D127" s="1">
        <f>IF(B126&lt;0, 0, IF(MOD(A126,$F$3)&lt;$F$3*$F$4/100, $B$4/2, 0))</f>
        <v>1.5</v>
      </c>
    </row>
    <row r="128" spans="1:4" x14ac:dyDescent="0.3">
      <c r="A128" s="1">
        <f>A127+$A$15</f>
        <v>11.399999999999975</v>
      </c>
      <c r="B128" s="1">
        <f t="shared" si="2"/>
        <v>2.4019230769230644</v>
      </c>
      <c r="C128" s="1">
        <f t="shared" si="3"/>
        <v>2.4019230769230644</v>
      </c>
      <c r="D128" s="1">
        <f>IF(B127&lt;0, 0, IF(MOD(A127,$F$3)&lt;$F$3*$F$4/100, $B$4/2, 0))</f>
        <v>1.5</v>
      </c>
    </row>
    <row r="129" spans="1:4" x14ac:dyDescent="0.3">
      <c r="A129" s="1">
        <f>A128+$A$15</f>
        <v>11.499999999999975</v>
      </c>
      <c r="B129" s="1">
        <f t="shared" si="2"/>
        <v>2.4519230769230642</v>
      </c>
      <c r="C129" s="1">
        <f t="shared" si="3"/>
        <v>2.4519230769230642</v>
      </c>
      <c r="D129" s="1">
        <f>IF(B128&lt;0, 0, IF(MOD(A128,$F$3)&lt;$F$3*$F$4/100, $B$4/2, 0))</f>
        <v>1.5</v>
      </c>
    </row>
    <row r="130" spans="1:4" x14ac:dyDescent="0.3">
      <c r="A130" s="1">
        <f>A129+$A$15</f>
        <v>11.599999999999975</v>
      </c>
      <c r="B130" s="1">
        <f t="shared" si="2"/>
        <v>2.501923076923064</v>
      </c>
      <c r="C130" s="1">
        <f t="shared" si="3"/>
        <v>2.501923076923064</v>
      </c>
      <c r="D130" s="1">
        <f>IF(B129&lt;0, 0, IF(MOD(A129,$F$3)&lt;$F$3*$F$4/100, $B$4/2, 0))</f>
        <v>1.5</v>
      </c>
    </row>
    <row r="131" spans="1:4" x14ac:dyDescent="0.3">
      <c r="A131" s="1">
        <f>A130+$A$15</f>
        <v>11.699999999999974</v>
      </c>
      <c r="B131" s="1">
        <f t="shared" si="2"/>
        <v>2.5519230769230639</v>
      </c>
      <c r="C131" s="1">
        <f t="shared" si="3"/>
        <v>2.5519230769230639</v>
      </c>
      <c r="D131" s="1">
        <f>IF(B130&lt;0, 0, IF(MOD(A130,$F$3)&lt;$F$3*$F$4/100, $B$4/2, 0))</f>
        <v>1.5</v>
      </c>
    </row>
    <row r="132" spans="1:4" x14ac:dyDescent="0.3">
      <c r="A132" s="1">
        <f>A131+$A$15</f>
        <v>11.799999999999974</v>
      </c>
      <c r="B132" s="1">
        <f t="shared" si="2"/>
        <v>2.6019230769230637</v>
      </c>
      <c r="C132" s="1">
        <f t="shared" si="3"/>
        <v>2.6019230769230637</v>
      </c>
      <c r="D132" s="1">
        <f>IF(B131&lt;0, 0, IF(MOD(A131,$F$3)&lt;$F$3*$F$4/100, $B$4/2, 0))</f>
        <v>1.5</v>
      </c>
    </row>
    <row r="133" spans="1:4" x14ac:dyDescent="0.3">
      <c r="A133" s="1">
        <f>A132+$A$15</f>
        <v>11.899999999999974</v>
      </c>
      <c r="B133" s="1">
        <f t="shared" si="2"/>
        <v>2.6519230769230635</v>
      </c>
      <c r="C133" s="1">
        <f t="shared" si="3"/>
        <v>2.6519230769230635</v>
      </c>
      <c r="D133" s="1">
        <f>IF(B132&lt;0, 0, IF(MOD(A132,$F$3)&lt;$F$3*$F$4/100, $B$4/2, 0))</f>
        <v>1.5</v>
      </c>
    </row>
    <row r="134" spans="1:4" x14ac:dyDescent="0.3">
      <c r="A134" s="1">
        <f>A133+$A$15</f>
        <v>11.999999999999973</v>
      </c>
      <c r="B134" s="1">
        <f t="shared" si="2"/>
        <v>2.7019230769230633</v>
      </c>
      <c r="C134" s="1">
        <f t="shared" si="3"/>
        <v>2.7019230769230633</v>
      </c>
      <c r="D134" s="1">
        <f>IF(B133&lt;0, 0, IF(MOD(A133,$F$3)&lt;$F$3*$F$4/100, $B$4/2, 0))</f>
        <v>1.5</v>
      </c>
    </row>
    <row r="135" spans="1:4" x14ac:dyDescent="0.3">
      <c r="A135" s="1">
        <f>A134+$A$15</f>
        <v>12.099999999999973</v>
      </c>
      <c r="B135" s="1">
        <f t="shared" si="2"/>
        <v>2.7519230769230631</v>
      </c>
      <c r="C135" s="1">
        <f t="shared" si="3"/>
        <v>2.7519230769230631</v>
      </c>
      <c r="D135" s="1">
        <f>IF(B134&lt;0, 0, IF(MOD(A134,$F$3)&lt;$F$3*$F$4/100, $B$4/2, 0))</f>
        <v>1.5</v>
      </c>
    </row>
    <row r="136" spans="1:4" x14ac:dyDescent="0.3">
      <c r="A136" s="1">
        <f>A135+$A$15</f>
        <v>12.199999999999973</v>
      </c>
      <c r="B136" s="1">
        <f t="shared" si="2"/>
        <v>2.801923076923063</v>
      </c>
      <c r="C136" s="1">
        <f t="shared" si="3"/>
        <v>2.801923076923063</v>
      </c>
      <c r="D136" s="1">
        <f>IF(B135&lt;0, 0, IF(MOD(A135,$F$3)&lt;$F$3*$F$4/100, $B$4/2, 0))</f>
        <v>1.5</v>
      </c>
    </row>
    <row r="137" spans="1:4" x14ac:dyDescent="0.3">
      <c r="A137" s="1">
        <f>A136+$A$15</f>
        <v>12.299999999999972</v>
      </c>
      <c r="B137" s="1">
        <f t="shared" si="2"/>
        <v>2.8519230769230628</v>
      </c>
      <c r="C137" s="1">
        <f t="shared" si="3"/>
        <v>2.8519230769230628</v>
      </c>
      <c r="D137" s="1">
        <f>IF(B136&lt;0, 0, IF(MOD(A136,$F$3)&lt;$F$3*$F$4/100, $B$4/2, 0))</f>
        <v>1.5</v>
      </c>
    </row>
    <row r="138" spans="1:4" x14ac:dyDescent="0.3">
      <c r="A138" s="1">
        <f>A137+$A$15</f>
        <v>12.399999999999972</v>
      </c>
      <c r="B138" s="1">
        <f t="shared" si="2"/>
        <v>2.9019230769230626</v>
      </c>
      <c r="C138" s="1">
        <f t="shared" si="3"/>
        <v>2.9019230769230626</v>
      </c>
      <c r="D138" s="1">
        <f>IF(B137&lt;0, 0, IF(MOD(A137,$F$3)&lt;$F$3*$F$4/100, $B$4/2, 0))</f>
        <v>1.5</v>
      </c>
    </row>
    <row r="139" spans="1:4" x14ac:dyDescent="0.3">
      <c r="A139" s="1">
        <f>A138+$A$15</f>
        <v>12.499999999999972</v>
      </c>
      <c r="B139" s="1">
        <f t="shared" si="2"/>
        <v>2.9519230769230624</v>
      </c>
      <c r="C139" s="1">
        <f t="shared" si="3"/>
        <v>2.9519230769230624</v>
      </c>
      <c r="D139" s="1">
        <f>IF(B138&lt;0, 0, IF(MOD(A138,$F$3)&lt;$F$3*$F$4/100, $B$4/2, 0))</f>
        <v>1.5</v>
      </c>
    </row>
    <row r="140" spans="1:4" x14ac:dyDescent="0.3">
      <c r="A140" s="1">
        <f>A139+$A$15</f>
        <v>12.599999999999971</v>
      </c>
      <c r="B140" s="1">
        <f t="shared" si="2"/>
        <v>3.0019230769230623</v>
      </c>
      <c r="C140" s="1">
        <f t="shared" si="3"/>
        <v>3.0019230769230623</v>
      </c>
      <c r="D140" s="1">
        <f>IF(B139&lt;0, 0, IF(MOD(A139,$F$3)&lt;$F$3*$F$4/100, $B$4/2, 0))</f>
        <v>1.5</v>
      </c>
    </row>
    <row r="141" spans="1:4" x14ac:dyDescent="0.3">
      <c r="A141" s="1">
        <f>A140+$A$15</f>
        <v>12.699999999999971</v>
      </c>
      <c r="B141" s="1">
        <f t="shared" si="2"/>
        <v>3.0519230769230621</v>
      </c>
      <c r="C141" s="1">
        <f t="shared" si="3"/>
        <v>3.0519230769230621</v>
      </c>
      <c r="D141" s="1">
        <f>IF(B140&lt;0, 0, IF(MOD(A140,$F$3)&lt;$F$3*$F$4/100, $B$4/2, 0))</f>
        <v>1.5</v>
      </c>
    </row>
    <row r="142" spans="1:4" x14ac:dyDescent="0.3">
      <c r="A142" s="1">
        <f>A141+$A$15</f>
        <v>12.799999999999971</v>
      </c>
      <c r="B142" s="1">
        <f t="shared" ref="B142:B205" si="4">IF(MOD(A142,$F$3)&lt;=$F$5,$F$19 + $F$21 * MOD(A142,$F$3),$F$20 + $F$22 * (MOD(A142,$F$3)-$F$5))</f>
        <v>3.1019230769230619</v>
      </c>
      <c r="C142" s="1">
        <f t="shared" si="3"/>
        <v>3.1019230769230619</v>
      </c>
      <c r="D142" s="1">
        <f>IF(B141&lt;0, 0, IF(MOD(A141,$F$3)&lt;$F$3*$F$4/100, $B$4/2, 0))</f>
        <v>1.5</v>
      </c>
    </row>
    <row r="143" spans="1:4" x14ac:dyDescent="0.3">
      <c r="A143" s="1">
        <f>A142+$A$15</f>
        <v>12.89999999999997</v>
      </c>
      <c r="B143" s="1">
        <f t="shared" si="4"/>
        <v>3.1519230769230617</v>
      </c>
      <c r="C143" s="1">
        <f t="shared" ref="C143:C206" si="5">IF(B143&gt;=0,B143,0)</f>
        <v>3.1519230769230617</v>
      </c>
      <c r="D143" s="1">
        <f>IF(B142&lt;0, 0, IF(MOD(A142,$F$3)&lt;$F$3*$F$4/100, $B$4/2, 0))</f>
        <v>1.5</v>
      </c>
    </row>
    <row r="144" spans="1:4" x14ac:dyDescent="0.3">
      <c r="A144" s="1">
        <f>A143+$A$15</f>
        <v>12.99999999999997</v>
      </c>
      <c r="B144" s="1">
        <f t="shared" si="4"/>
        <v>3.2019230769230616</v>
      </c>
      <c r="C144" s="1">
        <f t="shared" si="5"/>
        <v>3.2019230769230616</v>
      </c>
      <c r="D144" s="1">
        <f>IF(B143&lt;0, 0, IF(MOD(A143,$F$3)&lt;$F$3*$F$4/100, $B$4/2, 0))</f>
        <v>1.5</v>
      </c>
    </row>
    <row r="145" spans="1:4" x14ac:dyDescent="0.3">
      <c r="A145" s="1">
        <f>A144+$A$15</f>
        <v>13.099999999999969</v>
      </c>
      <c r="B145" s="1">
        <f t="shared" si="4"/>
        <v>3.2519230769230614</v>
      </c>
      <c r="C145" s="1">
        <f t="shared" si="5"/>
        <v>3.2519230769230614</v>
      </c>
      <c r="D145" s="1">
        <f>IF(B144&lt;0, 0, IF(MOD(A144,$F$3)&lt;$F$3*$F$4/100, $B$4/2, 0))</f>
        <v>1.5</v>
      </c>
    </row>
    <row r="146" spans="1:4" x14ac:dyDescent="0.3">
      <c r="A146" s="1">
        <f>A145+$A$15</f>
        <v>13.199999999999969</v>
      </c>
      <c r="B146" s="1">
        <f t="shared" si="4"/>
        <v>3.3019230769230612</v>
      </c>
      <c r="C146" s="1">
        <f t="shared" si="5"/>
        <v>3.3019230769230612</v>
      </c>
      <c r="D146" s="1">
        <f>IF(B145&lt;0, 0, IF(MOD(A145,$F$3)&lt;$F$3*$F$4/100, $B$4/2, 0))</f>
        <v>1.5</v>
      </c>
    </row>
    <row r="147" spans="1:4" x14ac:dyDescent="0.3">
      <c r="A147" s="1">
        <f>A146+$A$15</f>
        <v>13.299999999999969</v>
      </c>
      <c r="B147" s="1">
        <f t="shared" si="4"/>
        <v>3.351923076923061</v>
      </c>
      <c r="C147" s="1">
        <f t="shared" si="5"/>
        <v>3.351923076923061</v>
      </c>
      <c r="D147" s="1">
        <f>IF(B146&lt;0, 0, IF(MOD(A146,$F$3)&lt;$F$3*$F$4/100, $B$4/2, 0))</f>
        <v>1.5</v>
      </c>
    </row>
    <row r="148" spans="1:4" x14ac:dyDescent="0.3">
      <c r="A148" s="1">
        <f>A147+$A$15</f>
        <v>13.399999999999968</v>
      </c>
      <c r="B148" s="1">
        <f t="shared" si="4"/>
        <v>3.4019230769230608</v>
      </c>
      <c r="C148" s="1">
        <f t="shared" si="5"/>
        <v>3.4019230769230608</v>
      </c>
      <c r="D148" s="1">
        <f>IF(B147&lt;0, 0, IF(MOD(A147,$F$3)&lt;$F$3*$F$4/100, $B$4/2, 0))</f>
        <v>1.5</v>
      </c>
    </row>
    <row r="149" spans="1:4" x14ac:dyDescent="0.3">
      <c r="A149" s="1">
        <f>A148+$A$15</f>
        <v>13.499999999999968</v>
      </c>
      <c r="B149" s="1">
        <f t="shared" si="4"/>
        <v>3.4519230769230607</v>
      </c>
      <c r="C149" s="1">
        <f t="shared" si="5"/>
        <v>3.4519230769230607</v>
      </c>
      <c r="D149" s="1">
        <f>IF(B148&lt;0, 0, IF(MOD(A148,$F$3)&lt;$F$3*$F$4/100, $B$4/2, 0))</f>
        <v>1.5</v>
      </c>
    </row>
    <row r="150" spans="1:4" x14ac:dyDescent="0.3">
      <c r="A150" s="1">
        <f>A149+$A$15</f>
        <v>13.599999999999968</v>
      </c>
      <c r="B150" s="1">
        <f t="shared" si="4"/>
        <v>3.5019230769230605</v>
      </c>
      <c r="C150" s="1">
        <f t="shared" si="5"/>
        <v>3.5019230769230605</v>
      </c>
      <c r="D150" s="1">
        <f>IF(B149&lt;0, 0, IF(MOD(A149,$F$3)&lt;$F$3*$F$4/100, $B$4/2, 0))</f>
        <v>1.5</v>
      </c>
    </row>
    <row r="151" spans="1:4" x14ac:dyDescent="0.3">
      <c r="A151" s="1">
        <f>A150+$A$15</f>
        <v>13.699999999999967</v>
      </c>
      <c r="B151" s="1">
        <f t="shared" si="4"/>
        <v>3.5519230769230603</v>
      </c>
      <c r="C151" s="1">
        <f t="shared" si="5"/>
        <v>3.5519230769230603</v>
      </c>
      <c r="D151" s="1">
        <f>IF(B150&lt;0, 0, IF(MOD(A150,$F$3)&lt;$F$3*$F$4/100, $B$4/2, 0))</f>
        <v>1.5</v>
      </c>
    </row>
    <row r="152" spans="1:4" x14ac:dyDescent="0.3">
      <c r="A152" s="1">
        <f>A151+$A$15</f>
        <v>13.799999999999967</v>
      </c>
      <c r="B152" s="1">
        <f t="shared" si="4"/>
        <v>3.6019230769230601</v>
      </c>
      <c r="C152" s="1">
        <f t="shared" si="5"/>
        <v>3.6019230769230601</v>
      </c>
      <c r="D152" s="1">
        <f>IF(B151&lt;0, 0, IF(MOD(A151,$F$3)&lt;$F$3*$F$4/100, $B$4/2, 0))</f>
        <v>1.5</v>
      </c>
    </row>
    <row r="153" spans="1:4" x14ac:dyDescent="0.3">
      <c r="A153" s="1">
        <f>A152+$A$15</f>
        <v>13.899999999999967</v>
      </c>
      <c r="B153" s="1">
        <f t="shared" si="4"/>
        <v>3.65192307692306</v>
      </c>
      <c r="C153" s="1">
        <f t="shared" si="5"/>
        <v>3.65192307692306</v>
      </c>
      <c r="D153" s="1">
        <f>IF(B152&lt;0, 0, IF(MOD(A152,$F$3)&lt;$F$3*$F$4/100, $B$4/2, 0))</f>
        <v>1.5</v>
      </c>
    </row>
    <row r="154" spans="1:4" x14ac:dyDescent="0.3">
      <c r="A154" s="1">
        <f>A153+$A$15</f>
        <v>13.999999999999966</v>
      </c>
      <c r="B154" s="1">
        <f t="shared" si="4"/>
        <v>3.7019230769230598</v>
      </c>
      <c r="C154" s="1">
        <f t="shared" si="5"/>
        <v>3.7019230769230598</v>
      </c>
      <c r="D154" s="1">
        <f>IF(B153&lt;0, 0, IF(MOD(A153,$F$3)&lt;$F$3*$F$4/100, $B$4/2, 0))</f>
        <v>1.5</v>
      </c>
    </row>
    <row r="155" spans="1:4" x14ac:dyDescent="0.3">
      <c r="A155" s="1">
        <f>A154+$A$15</f>
        <v>14.099999999999966</v>
      </c>
      <c r="B155" s="1">
        <f t="shared" si="4"/>
        <v>3.7519230769230596</v>
      </c>
      <c r="C155" s="1">
        <f t="shared" si="5"/>
        <v>3.7519230769230596</v>
      </c>
      <c r="D155" s="1">
        <f>IF(B154&lt;0, 0, IF(MOD(A154,$F$3)&lt;$F$3*$F$4/100, $B$4/2, 0))</f>
        <v>1.5</v>
      </c>
    </row>
    <row r="156" spans="1:4" x14ac:dyDescent="0.3">
      <c r="A156" s="1">
        <f>A155+$A$15</f>
        <v>14.199999999999966</v>
      </c>
      <c r="B156" s="1">
        <f t="shared" si="4"/>
        <v>3.8019230769230594</v>
      </c>
      <c r="C156" s="1">
        <f t="shared" si="5"/>
        <v>3.8019230769230594</v>
      </c>
      <c r="D156" s="1">
        <f>IF(B155&lt;0, 0, IF(MOD(A155,$F$3)&lt;$F$3*$F$4/100, $B$4/2, 0))</f>
        <v>1.5</v>
      </c>
    </row>
    <row r="157" spans="1:4" x14ac:dyDescent="0.3">
      <c r="A157" s="1">
        <f>A156+$A$15</f>
        <v>14.299999999999965</v>
      </c>
      <c r="B157" s="1">
        <f t="shared" si="4"/>
        <v>3.8519230769230592</v>
      </c>
      <c r="C157" s="1">
        <f t="shared" si="5"/>
        <v>3.8519230769230592</v>
      </c>
      <c r="D157" s="1">
        <f>IF(B156&lt;0, 0, IF(MOD(A156,$F$3)&lt;$F$3*$F$4/100, $B$4/2, 0))</f>
        <v>1.5</v>
      </c>
    </row>
    <row r="158" spans="1:4" x14ac:dyDescent="0.3">
      <c r="A158" s="1">
        <f>A157+$A$15</f>
        <v>14.399999999999965</v>
      </c>
      <c r="B158" s="1">
        <f t="shared" si="4"/>
        <v>3.9019230769230591</v>
      </c>
      <c r="C158" s="1">
        <f t="shared" si="5"/>
        <v>3.9019230769230591</v>
      </c>
      <c r="D158" s="1">
        <f>IF(B157&lt;0, 0, IF(MOD(A157,$F$3)&lt;$F$3*$F$4/100, $B$4/2, 0))</f>
        <v>1.5</v>
      </c>
    </row>
    <row r="159" spans="1:4" x14ac:dyDescent="0.3">
      <c r="A159" s="1">
        <f>A158+$A$15</f>
        <v>14.499999999999964</v>
      </c>
      <c r="B159" s="1">
        <f t="shared" si="4"/>
        <v>3.9519230769230589</v>
      </c>
      <c r="C159" s="1">
        <f t="shared" si="5"/>
        <v>3.9519230769230589</v>
      </c>
      <c r="D159" s="1">
        <f>IF(B158&lt;0, 0, IF(MOD(A158,$F$3)&lt;$F$3*$F$4/100, $B$4/2, 0))</f>
        <v>1.5</v>
      </c>
    </row>
    <row r="160" spans="1:4" x14ac:dyDescent="0.3">
      <c r="A160" s="1">
        <f>A159+$A$15</f>
        <v>14.599999999999964</v>
      </c>
      <c r="B160" s="1">
        <f t="shared" si="4"/>
        <v>4.0019230769230587</v>
      </c>
      <c r="C160" s="1">
        <f t="shared" si="5"/>
        <v>4.0019230769230587</v>
      </c>
      <c r="D160" s="1">
        <f>IF(B159&lt;0, 0, IF(MOD(A159,$F$3)&lt;$F$3*$F$4/100, $B$4/2, 0))</f>
        <v>1.5</v>
      </c>
    </row>
    <row r="161" spans="1:4" x14ac:dyDescent="0.3">
      <c r="A161" s="1">
        <f>A160+$A$15</f>
        <v>14.699999999999964</v>
      </c>
      <c r="B161" s="1">
        <f t="shared" si="4"/>
        <v>4.0519230769230585</v>
      </c>
      <c r="C161" s="1">
        <f t="shared" si="5"/>
        <v>4.0519230769230585</v>
      </c>
      <c r="D161" s="1">
        <f>IF(B160&lt;0, 0, IF(MOD(A160,$F$3)&lt;$F$3*$F$4/100, $B$4/2, 0))</f>
        <v>1.5</v>
      </c>
    </row>
    <row r="162" spans="1:4" x14ac:dyDescent="0.3">
      <c r="A162" s="1">
        <f>A161+$A$15</f>
        <v>14.799999999999963</v>
      </c>
      <c r="B162" s="1">
        <f t="shared" si="4"/>
        <v>4.1019230769230584</v>
      </c>
      <c r="C162" s="1">
        <f t="shared" si="5"/>
        <v>4.1019230769230584</v>
      </c>
      <c r="D162" s="1">
        <f>IF(B161&lt;0, 0, IF(MOD(A161,$F$3)&lt;$F$3*$F$4/100, $B$4/2, 0))</f>
        <v>1.5</v>
      </c>
    </row>
    <row r="163" spans="1:4" x14ac:dyDescent="0.3">
      <c r="A163" s="1">
        <f>A162+$A$15</f>
        <v>14.899999999999963</v>
      </c>
      <c r="B163" s="1">
        <f t="shared" si="4"/>
        <v>4.1519230769230582</v>
      </c>
      <c r="C163" s="1">
        <f t="shared" si="5"/>
        <v>4.1519230769230582</v>
      </c>
      <c r="D163" s="1">
        <f>IF(B162&lt;0, 0, IF(MOD(A162,$F$3)&lt;$F$3*$F$4/100, $B$4/2, 0))</f>
        <v>1.5</v>
      </c>
    </row>
    <row r="164" spans="1:4" x14ac:dyDescent="0.3">
      <c r="A164" s="1">
        <f>A163+$A$15</f>
        <v>14.999999999999963</v>
      </c>
      <c r="B164" s="1">
        <f t="shared" si="4"/>
        <v>4.201923076923058</v>
      </c>
      <c r="C164" s="1">
        <f t="shared" si="5"/>
        <v>4.201923076923058</v>
      </c>
      <c r="D164" s="1">
        <f>IF(B163&lt;0, 0, IF(MOD(A163,$F$3)&lt;$F$3*$F$4/100, $B$4/2, 0))</f>
        <v>1.5</v>
      </c>
    </row>
    <row r="165" spans="1:4" x14ac:dyDescent="0.3">
      <c r="A165" s="1">
        <f>A164+$A$15</f>
        <v>15.099999999999962</v>
      </c>
      <c r="B165" s="1">
        <f t="shared" si="4"/>
        <v>4.2480769230769422</v>
      </c>
      <c r="C165" s="1">
        <f t="shared" si="5"/>
        <v>4.2480769230769422</v>
      </c>
      <c r="D165" s="1">
        <f>IF(B164&lt;0, 0, IF(MOD(A164,$F$3)&lt;$F$3*$F$4/100, $B$4/2, 0))</f>
        <v>1.5</v>
      </c>
    </row>
    <row r="166" spans="1:4" x14ac:dyDescent="0.3">
      <c r="A166" s="1">
        <f>A165+$A$15</f>
        <v>15.199999999999962</v>
      </c>
      <c r="B166" s="1">
        <f t="shared" si="4"/>
        <v>4.1980769230769424</v>
      </c>
      <c r="C166" s="1">
        <f t="shared" si="5"/>
        <v>4.1980769230769424</v>
      </c>
      <c r="D166" s="1">
        <f>IF(B165&lt;0, 0, IF(MOD(A165,$F$3)&lt;$F$3*$F$4/100, $B$4/2, 0))</f>
        <v>0</v>
      </c>
    </row>
    <row r="167" spans="1:4" x14ac:dyDescent="0.3">
      <c r="A167" s="1">
        <f>A166+$A$15</f>
        <v>15.299999999999962</v>
      </c>
      <c r="B167" s="1">
        <f t="shared" si="4"/>
        <v>4.1480769230769425</v>
      </c>
      <c r="C167" s="1">
        <f t="shared" si="5"/>
        <v>4.1480769230769425</v>
      </c>
      <c r="D167" s="1">
        <f>IF(B166&lt;0, 0, IF(MOD(A166,$F$3)&lt;$F$3*$F$4/100, $B$4/2, 0))</f>
        <v>0</v>
      </c>
    </row>
    <row r="168" spans="1:4" x14ac:dyDescent="0.3">
      <c r="A168" s="1">
        <f>A167+$A$15</f>
        <v>15.399999999999961</v>
      </c>
      <c r="B168" s="1">
        <f t="shared" si="4"/>
        <v>4.0980769230769427</v>
      </c>
      <c r="C168" s="1">
        <f t="shared" si="5"/>
        <v>4.0980769230769427</v>
      </c>
      <c r="D168" s="1">
        <f>IF(B167&lt;0, 0, IF(MOD(A167,$F$3)&lt;$F$3*$F$4/100, $B$4/2, 0))</f>
        <v>0</v>
      </c>
    </row>
    <row r="169" spans="1:4" x14ac:dyDescent="0.3">
      <c r="A169" s="1">
        <f>A168+$A$15</f>
        <v>15.499999999999961</v>
      </c>
      <c r="B169" s="1">
        <f t="shared" si="4"/>
        <v>4.0480769230769429</v>
      </c>
      <c r="C169" s="1">
        <f t="shared" si="5"/>
        <v>4.0480769230769429</v>
      </c>
      <c r="D169" s="1">
        <f>IF(B168&lt;0, 0, IF(MOD(A168,$F$3)&lt;$F$3*$F$4/100, $B$4/2, 0))</f>
        <v>0</v>
      </c>
    </row>
    <row r="170" spans="1:4" x14ac:dyDescent="0.3">
      <c r="A170" s="1">
        <f>A169+$A$15</f>
        <v>15.599999999999961</v>
      </c>
      <c r="B170" s="1">
        <f t="shared" si="4"/>
        <v>3.9980769230769431</v>
      </c>
      <c r="C170" s="1">
        <f t="shared" si="5"/>
        <v>3.9980769230769431</v>
      </c>
      <c r="D170" s="1">
        <f>IF(B169&lt;0, 0, IF(MOD(A169,$F$3)&lt;$F$3*$F$4/100, $B$4/2, 0))</f>
        <v>0</v>
      </c>
    </row>
    <row r="171" spans="1:4" x14ac:dyDescent="0.3">
      <c r="A171" s="1">
        <f>A170+$A$15</f>
        <v>15.69999999999996</v>
      </c>
      <c r="B171" s="1">
        <f t="shared" si="4"/>
        <v>3.9480769230769432</v>
      </c>
      <c r="C171" s="1">
        <f t="shared" si="5"/>
        <v>3.9480769230769432</v>
      </c>
      <c r="D171" s="1">
        <f>IF(B170&lt;0, 0, IF(MOD(A170,$F$3)&lt;$F$3*$F$4/100, $B$4/2, 0))</f>
        <v>0</v>
      </c>
    </row>
    <row r="172" spans="1:4" x14ac:dyDescent="0.3">
      <c r="A172" s="1">
        <f>A171+$A$15</f>
        <v>15.79999999999996</v>
      </c>
      <c r="B172" s="1">
        <f t="shared" si="4"/>
        <v>3.8980769230769434</v>
      </c>
      <c r="C172" s="1">
        <f t="shared" si="5"/>
        <v>3.8980769230769434</v>
      </c>
      <c r="D172" s="1">
        <f>IF(B171&lt;0, 0, IF(MOD(A171,$F$3)&lt;$F$3*$F$4/100, $B$4/2, 0))</f>
        <v>0</v>
      </c>
    </row>
    <row r="173" spans="1:4" x14ac:dyDescent="0.3">
      <c r="A173" s="1">
        <f>A172+$A$15</f>
        <v>15.899999999999959</v>
      </c>
      <c r="B173" s="1">
        <f t="shared" si="4"/>
        <v>3.8480769230769436</v>
      </c>
      <c r="C173" s="1">
        <f t="shared" si="5"/>
        <v>3.8480769230769436</v>
      </c>
      <c r="D173" s="1">
        <f>IF(B172&lt;0, 0, IF(MOD(A172,$F$3)&lt;$F$3*$F$4/100, $B$4/2, 0))</f>
        <v>0</v>
      </c>
    </row>
    <row r="174" spans="1:4" x14ac:dyDescent="0.3">
      <c r="A174" s="1">
        <f>A173+$A$15</f>
        <v>15.999999999999959</v>
      </c>
      <c r="B174" s="1">
        <f t="shared" si="4"/>
        <v>3.7980769230769438</v>
      </c>
      <c r="C174" s="1">
        <f t="shared" si="5"/>
        <v>3.7980769230769438</v>
      </c>
      <c r="D174" s="1">
        <f>IF(B173&lt;0, 0, IF(MOD(A173,$F$3)&lt;$F$3*$F$4/100, $B$4/2, 0))</f>
        <v>0</v>
      </c>
    </row>
    <row r="175" spans="1:4" x14ac:dyDescent="0.3">
      <c r="A175" s="1">
        <f>A174+$A$15</f>
        <v>16.099999999999959</v>
      </c>
      <c r="B175" s="1">
        <f t="shared" si="4"/>
        <v>3.748076923076944</v>
      </c>
      <c r="C175" s="1">
        <f t="shared" si="5"/>
        <v>3.748076923076944</v>
      </c>
      <c r="D175" s="1">
        <f>IF(B174&lt;0, 0, IF(MOD(A174,$F$3)&lt;$F$3*$F$4/100, $B$4/2, 0))</f>
        <v>0</v>
      </c>
    </row>
    <row r="176" spans="1:4" x14ac:dyDescent="0.3">
      <c r="A176" s="1">
        <f>A175+$A$15</f>
        <v>16.19999999999996</v>
      </c>
      <c r="B176" s="1">
        <f t="shared" si="4"/>
        <v>3.6980769230769432</v>
      </c>
      <c r="C176" s="1">
        <f t="shared" si="5"/>
        <v>3.6980769230769432</v>
      </c>
      <c r="D176" s="1">
        <f>IF(B175&lt;0, 0, IF(MOD(A175,$F$3)&lt;$F$3*$F$4/100, $B$4/2, 0))</f>
        <v>0</v>
      </c>
    </row>
    <row r="177" spans="1:4" x14ac:dyDescent="0.3">
      <c r="A177" s="1">
        <f>A176+$A$15</f>
        <v>16.299999999999962</v>
      </c>
      <c r="B177" s="1">
        <f t="shared" si="4"/>
        <v>3.6480769230769425</v>
      </c>
      <c r="C177" s="1">
        <f t="shared" si="5"/>
        <v>3.6480769230769425</v>
      </c>
      <c r="D177" s="1">
        <f>IF(B176&lt;0, 0, IF(MOD(A176,$F$3)&lt;$F$3*$F$4/100, $B$4/2, 0))</f>
        <v>0</v>
      </c>
    </row>
    <row r="178" spans="1:4" x14ac:dyDescent="0.3">
      <c r="A178" s="1">
        <f>A177+$A$15</f>
        <v>16.399999999999963</v>
      </c>
      <c r="B178" s="1">
        <f t="shared" si="4"/>
        <v>3.5980769230769418</v>
      </c>
      <c r="C178" s="1">
        <f t="shared" si="5"/>
        <v>3.5980769230769418</v>
      </c>
      <c r="D178" s="1">
        <f>IF(B177&lt;0, 0, IF(MOD(A177,$F$3)&lt;$F$3*$F$4/100, $B$4/2, 0))</f>
        <v>0</v>
      </c>
    </row>
    <row r="179" spans="1:4" x14ac:dyDescent="0.3">
      <c r="A179" s="1">
        <f>A178+$A$15</f>
        <v>16.499999999999964</v>
      </c>
      <c r="B179" s="1">
        <f t="shared" si="4"/>
        <v>3.5480769230769411</v>
      </c>
      <c r="C179" s="1">
        <f t="shared" si="5"/>
        <v>3.5480769230769411</v>
      </c>
      <c r="D179" s="1">
        <f>IF(B178&lt;0, 0, IF(MOD(A178,$F$3)&lt;$F$3*$F$4/100, $B$4/2, 0))</f>
        <v>0</v>
      </c>
    </row>
    <row r="180" spans="1:4" x14ac:dyDescent="0.3">
      <c r="A180" s="1">
        <f>A179+$A$15</f>
        <v>16.599999999999966</v>
      </c>
      <c r="B180" s="1">
        <f t="shared" si="4"/>
        <v>3.4980769230769404</v>
      </c>
      <c r="C180" s="1">
        <f t="shared" si="5"/>
        <v>3.4980769230769404</v>
      </c>
      <c r="D180" s="1">
        <f>IF(B179&lt;0, 0, IF(MOD(A179,$F$3)&lt;$F$3*$F$4/100, $B$4/2, 0))</f>
        <v>0</v>
      </c>
    </row>
    <row r="181" spans="1:4" x14ac:dyDescent="0.3">
      <c r="A181" s="1">
        <f>A180+$A$15</f>
        <v>16.699999999999967</v>
      </c>
      <c r="B181" s="1">
        <f t="shared" si="4"/>
        <v>3.4480769230769397</v>
      </c>
      <c r="C181" s="1">
        <f t="shared" si="5"/>
        <v>3.4480769230769397</v>
      </c>
      <c r="D181" s="1">
        <f>IF(B180&lt;0, 0, IF(MOD(A180,$F$3)&lt;$F$3*$F$4/100, $B$4/2, 0))</f>
        <v>0</v>
      </c>
    </row>
    <row r="182" spans="1:4" x14ac:dyDescent="0.3">
      <c r="A182" s="1">
        <f>A181+$A$15</f>
        <v>16.799999999999969</v>
      </c>
      <c r="B182" s="1">
        <f t="shared" si="4"/>
        <v>3.398076923076939</v>
      </c>
      <c r="C182" s="1">
        <f t="shared" si="5"/>
        <v>3.398076923076939</v>
      </c>
      <c r="D182" s="1">
        <f>IF(B181&lt;0, 0, IF(MOD(A181,$F$3)&lt;$F$3*$F$4/100, $B$4/2, 0))</f>
        <v>0</v>
      </c>
    </row>
    <row r="183" spans="1:4" x14ac:dyDescent="0.3">
      <c r="A183" s="1">
        <f>A182+$A$15</f>
        <v>16.89999999999997</v>
      </c>
      <c r="B183" s="1">
        <f t="shared" si="4"/>
        <v>3.3480769230769383</v>
      </c>
      <c r="C183" s="1">
        <f t="shared" si="5"/>
        <v>3.3480769230769383</v>
      </c>
      <c r="D183" s="1">
        <f>IF(B182&lt;0, 0, IF(MOD(A182,$F$3)&lt;$F$3*$F$4/100, $B$4/2, 0))</f>
        <v>0</v>
      </c>
    </row>
    <row r="184" spans="1:4" x14ac:dyDescent="0.3">
      <c r="A184" s="1">
        <f>A183+$A$15</f>
        <v>16.999999999999972</v>
      </c>
      <c r="B184" s="1">
        <f t="shared" si="4"/>
        <v>3.2980769230769376</v>
      </c>
      <c r="C184" s="1">
        <f t="shared" si="5"/>
        <v>3.2980769230769376</v>
      </c>
      <c r="D184" s="1">
        <f>IF(B183&lt;0, 0, IF(MOD(A183,$F$3)&lt;$F$3*$F$4/100, $B$4/2, 0))</f>
        <v>0</v>
      </c>
    </row>
    <row r="185" spans="1:4" x14ac:dyDescent="0.3">
      <c r="A185" s="1">
        <f>A184+$A$15</f>
        <v>17.099999999999973</v>
      </c>
      <c r="B185" s="1">
        <f t="shared" si="4"/>
        <v>3.2480769230769369</v>
      </c>
      <c r="C185" s="1">
        <f t="shared" si="5"/>
        <v>3.2480769230769369</v>
      </c>
      <c r="D185" s="1">
        <f>IF(B184&lt;0, 0, IF(MOD(A184,$F$3)&lt;$F$3*$F$4/100, $B$4/2, 0))</f>
        <v>0</v>
      </c>
    </row>
    <row r="186" spans="1:4" x14ac:dyDescent="0.3">
      <c r="A186" s="1">
        <f>A185+$A$15</f>
        <v>17.199999999999974</v>
      </c>
      <c r="B186" s="1">
        <f t="shared" si="4"/>
        <v>3.1980769230769361</v>
      </c>
      <c r="C186" s="1">
        <f t="shared" si="5"/>
        <v>3.1980769230769361</v>
      </c>
      <c r="D186" s="1">
        <f>IF(B185&lt;0, 0, IF(MOD(A185,$F$3)&lt;$F$3*$F$4/100, $B$4/2, 0))</f>
        <v>0</v>
      </c>
    </row>
    <row r="187" spans="1:4" x14ac:dyDescent="0.3">
      <c r="A187" s="1">
        <f>A186+$A$15</f>
        <v>17.299999999999976</v>
      </c>
      <c r="B187" s="1">
        <f t="shared" si="4"/>
        <v>3.1480769230769354</v>
      </c>
      <c r="C187" s="1">
        <f t="shared" si="5"/>
        <v>3.1480769230769354</v>
      </c>
      <c r="D187" s="1">
        <f>IF(B186&lt;0, 0, IF(MOD(A186,$F$3)&lt;$F$3*$F$4/100, $B$4/2, 0))</f>
        <v>0</v>
      </c>
    </row>
    <row r="188" spans="1:4" x14ac:dyDescent="0.3">
      <c r="A188" s="1">
        <f>A187+$A$15</f>
        <v>17.399999999999977</v>
      </c>
      <c r="B188" s="1">
        <f t="shared" si="4"/>
        <v>3.0980769230769347</v>
      </c>
      <c r="C188" s="1">
        <f t="shared" si="5"/>
        <v>3.0980769230769347</v>
      </c>
      <c r="D188" s="1">
        <f>IF(B187&lt;0, 0, IF(MOD(A187,$F$3)&lt;$F$3*$F$4/100, $B$4/2, 0))</f>
        <v>0</v>
      </c>
    </row>
    <row r="189" spans="1:4" x14ac:dyDescent="0.3">
      <c r="A189" s="1">
        <f>A188+$A$15</f>
        <v>17.499999999999979</v>
      </c>
      <c r="B189" s="1">
        <f t="shared" si="4"/>
        <v>3.048076923076934</v>
      </c>
      <c r="C189" s="1">
        <f t="shared" si="5"/>
        <v>3.048076923076934</v>
      </c>
      <c r="D189" s="1">
        <f>IF(B188&lt;0, 0, IF(MOD(A188,$F$3)&lt;$F$3*$F$4/100, $B$4/2, 0))</f>
        <v>0</v>
      </c>
    </row>
    <row r="190" spans="1:4" x14ac:dyDescent="0.3">
      <c r="A190" s="1">
        <f>A189+$A$15</f>
        <v>17.59999999999998</v>
      </c>
      <c r="B190" s="1">
        <f t="shared" si="4"/>
        <v>2.9980769230769333</v>
      </c>
      <c r="C190" s="1">
        <f t="shared" si="5"/>
        <v>2.9980769230769333</v>
      </c>
      <c r="D190" s="1">
        <f>IF(B189&lt;0, 0, IF(MOD(A189,$F$3)&lt;$F$3*$F$4/100, $B$4/2, 0))</f>
        <v>0</v>
      </c>
    </row>
    <row r="191" spans="1:4" x14ac:dyDescent="0.3">
      <c r="A191" s="1">
        <f>A190+$A$15</f>
        <v>17.699999999999982</v>
      </c>
      <c r="B191" s="1">
        <f t="shared" si="4"/>
        <v>2.9480769230769326</v>
      </c>
      <c r="C191" s="1">
        <f t="shared" si="5"/>
        <v>2.9480769230769326</v>
      </c>
      <c r="D191" s="1">
        <f>IF(B190&lt;0, 0, IF(MOD(A190,$F$3)&lt;$F$3*$F$4/100, $B$4/2, 0))</f>
        <v>0</v>
      </c>
    </row>
    <row r="192" spans="1:4" x14ac:dyDescent="0.3">
      <c r="A192" s="1">
        <f>A191+$A$15</f>
        <v>17.799999999999983</v>
      </c>
      <c r="B192" s="1">
        <f t="shared" si="4"/>
        <v>2.8980769230769319</v>
      </c>
      <c r="C192" s="1">
        <f t="shared" si="5"/>
        <v>2.8980769230769319</v>
      </c>
      <c r="D192" s="1">
        <f>IF(B191&lt;0, 0, IF(MOD(A191,$F$3)&lt;$F$3*$F$4/100, $B$4/2, 0))</f>
        <v>0</v>
      </c>
    </row>
    <row r="193" spans="1:4" x14ac:dyDescent="0.3">
      <c r="A193" s="1">
        <f>A192+$A$15</f>
        <v>17.899999999999984</v>
      </c>
      <c r="B193" s="1">
        <f t="shared" si="4"/>
        <v>2.8480769230769312</v>
      </c>
      <c r="C193" s="1">
        <f t="shared" si="5"/>
        <v>2.8480769230769312</v>
      </c>
      <c r="D193" s="1">
        <f>IF(B192&lt;0, 0, IF(MOD(A192,$F$3)&lt;$F$3*$F$4/100, $B$4/2, 0))</f>
        <v>0</v>
      </c>
    </row>
    <row r="194" spans="1:4" x14ac:dyDescent="0.3">
      <c r="A194" s="1">
        <f>A193+$A$15</f>
        <v>17.999999999999986</v>
      </c>
      <c r="B194" s="1">
        <f t="shared" si="4"/>
        <v>2.7980769230769305</v>
      </c>
      <c r="C194" s="1">
        <f t="shared" si="5"/>
        <v>2.7980769230769305</v>
      </c>
      <c r="D194" s="1">
        <f>IF(B193&lt;0, 0, IF(MOD(A193,$F$3)&lt;$F$3*$F$4/100, $B$4/2, 0))</f>
        <v>0</v>
      </c>
    </row>
    <row r="195" spans="1:4" x14ac:dyDescent="0.3">
      <c r="A195" s="1">
        <f>A194+$A$15</f>
        <v>18.099999999999987</v>
      </c>
      <c r="B195" s="1">
        <f t="shared" si="4"/>
        <v>2.7480769230769297</v>
      </c>
      <c r="C195" s="1">
        <f t="shared" si="5"/>
        <v>2.7480769230769297</v>
      </c>
      <c r="D195" s="1">
        <f>IF(B194&lt;0, 0, IF(MOD(A194,$F$3)&lt;$F$3*$F$4/100, $B$4/2, 0))</f>
        <v>0</v>
      </c>
    </row>
    <row r="196" spans="1:4" x14ac:dyDescent="0.3">
      <c r="A196" s="1">
        <f>A195+$A$15</f>
        <v>18.199999999999989</v>
      </c>
      <c r="B196" s="1">
        <f t="shared" si="4"/>
        <v>2.698076923076929</v>
      </c>
      <c r="C196" s="1">
        <f t="shared" si="5"/>
        <v>2.698076923076929</v>
      </c>
      <c r="D196" s="1">
        <f>IF(B195&lt;0, 0, IF(MOD(A195,$F$3)&lt;$F$3*$F$4/100, $B$4/2, 0))</f>
        <v>0</v>
      </c>
    </row>
    <row r="197" spans="1:4" x14ac:dyDescent="0.3">
      <c r="A197" s="1">
        <f>A196+$A$15</f>
        <v>18.29999999999999</v>
      </c>
      <c r="B197" s="1">
        <f t="shared" si="4"/>
        <v>2.6480769230769283</v>
      </c>
      <c r="C197" s="1">
        <f t="shared" si="5"/>
        <v>2.6480769230769283</v>
      </c>
      <c r="D197" s="1">
        <f>IF(B196&lt;0, 0, IF(MOD(A196,$F$3)&lt;$F$3*$F$4/100, $B$4/2, 0))</f>
        <v>0</v>
      </c>
    </row>
    <row r="198" spans="1:4" x14ac:dyDescent="0.3">
      <c r="A198" s="1">
        <f>A197+$A$15</f>
        <v>18.399999999999991</v>
      </c>
      <c r="B198" s="1">
        <f t="shared" si="4"/>
        <v>2.5980769230769276</v>
      </c>
      <c r="C198" s="1">
        <f t="shared" si="5"/>
        <v>2.5980769230769276</v>
      </c>
      <c r="D198" s="1">
        <f>IF(B197&lt;0, 0, IF(MOD(A197,$F$3)&lt;$F$3*$F$4/100, $B$4/2, 0))</f>
        <v>0</v>
      </c>
    </row>
    <row r="199" spans="1:4" x14ac:dyDescent="0.3">
      <c r="A199" s="1">
        <f>A198+$A$15</f>
        <v>18.499999999999993</v>
      </c>
      <c r="B199" s="1">
        <f t="shared" si="4"/>
        <v>2.5480769230769269</v>
      </c>
      <c r="C199" s="1">
        <f t="shared" si="5"/>
        <v>2.5480769230769269</v>
      </c>
      <c r="D199" s="1">
        <f>IF(B198&lt;0, 0, IF(MOD(A198,$F$3)&lt;$F$3*$F$4/100, $B$4/2, 0))</f>
        <v>0</v>
      </c>
    </row>
    <row r="200" spans="1:4" x14ac:dyDescent="0.3">
      <c r="A200" s="1">
        <f>A199+$A$15</f>
        <v>18.599999999999994</v>
      </c>
      <c r="B200" s="1">
        <f t="shared" si="4"/>
        <v>2.4980769230769262</v>
      </c>
      <c r="C200" s="1">
        <f t="shared" si="5"/>
        <v>2.4980769230769262</v>
      </c>
      <c r="D200" s="1">
        <f>IF(B199&lt;0, 0, IF(MOD(A199,$F$3)&lt;$F$3*$F$4/100, $B$4/2, 0))</f>
        <v>0</v>
      </c>
    </row>
    <row r="201" spans="1:4" x14ac:dyDescent="0.3">
      <c r="A201" s="1">
        <f>A200+$A$15</f>
        <v>18.699999999999996</v>
      </c>
      <c r="B201" s="1">
        <f t="shared" si="4"/>
        <v>2.4480769230769255</v>
      </c>
      <c r="C201" s="1">
        <f t="shared" si="5"/>
        <v>2.4480769230769255</v>
      </c>
      <c r="D201" s="1">
        <f>IF(B200&lt;0, 0, IF(MOD(A200,$F$3)&lt;$F$3*$F$4/100, $B$4/2, 0))</f>
        <v>0</v>
      </c>
    </row>
    <row r="202" spans="1:4" x14ac:dyDescent="0.3">
      <c r="A202" s="1">
        <f>A201+$A$15</f>
        <v>18.799999999999997</v>
      </c>
      <c r="B202" s="1">
        <f t="shared" si="4"/>
        <v>2.3980769230769248</v>
      </c>
      <c r="C202" s="1">
        <f t="shared" si="5"/>
        <v>2.3980769230769248</v>
      </c>
      <c r="D202" s="1">
        <f>IF(B201&lt;0, 0, IF(MOD(A201,$F$3)&lt;$F$3*$F$4/100, $B$4/2, 0))</f>
        <v>0</v>
      </c>
    </row>
    <row r="203" spans="1:4" x14ac:dyDescent="0.3">
      <c r="A203" s="1">
        <f>A202+$A$15</f>
        <v>18.899999999999999</v>
      </c>
      <c r="B203" s="1">
        <f t="shared" si="4"/>
        <v>2.3480769230769241</v>
      </c>
      <c r="C203" s="1">
        <f t="shared" si="5"/>
        <v>2.3480769230769241</v>
      </c>
      <c r="D203" s="1">
        <f>IF(B202&lt;0, 0, IF(MOD(A202,$F$3)&lt;$F$3*$F$4/100, $B$4/2, 0))</f>
        <v>0</v>
      </c>
    </row>
    <row r="204" spans="1:4" x14ac:dyDescent="0.3">
      <c r="A204" s="1">
        <f>A203+$A$15</f>
        <v>19</v>
      </c>
      <c r="B204" s="1">
        <f t="shared" si="4"/>
        <v>2.2980769230769234</v>
      </c>
      <c r="C204" s="1">
        <f t="shared" si="5"/>
        <v>2.2980769230769234</v>
      </c>
      <c r="D204" s="1">
        <f>IF(B203&lt;0, 0, IF(MOD(A203,$F$3)&lt;$F$3*$F$4/100, $B$4/2, 0))</f>
        <v>0</v>
      </c>
    </row>
    <row r="205" spans="1:4" x14ac:dyDescent="0.3">
      <c r="A205" s="1">
        <f>A204+$A$15</f>
        <v>19.100000000000001</v>
      </c>
      <c r="B205" s="1">
        <f t="shared" si="4"/>
        <v>2.2480769230769226</v>
      </c>
      <c r="C205" s="1">
        <f t="shared" si="5"/>
        <v>2.2480769230769226</v>
      </c>
      <c r="D205" s="1">
        <f>IF(B204&lt;0, 0, IF(MOD(A204,$F$3)&lt;$F$3*$F$4/100, $B$4/2, 0))</f>
        <v>0</v>
      </c>
    </row>
    <row r="206" spans="1:4" x14ac:dyDescent="0.3">
      <c r="A206" s="1">
        <f>A205+$A$15</f>
        <v>19.200000000000003</v>
      </c>
      <c r="B206" s="1">
        <f t="shared" ref="B206:B228" si="6">IF(MOD(A206,$F$3)&lt;=$F$5,$F$19 + $F$21 * MOD(A206,$F$3),$F$20 + $F$22 * (MOD(A206,$F$3)-$F$5))</f>
        <v>2.1980769230769219</v>
      </c>
      <c r="C206" s="1">
        <f t="shared" si="5"/>
        <v>2.1980769230769219</v>
      </c>
      <c r="D206" s="1">
        <f>IF(B205&lt;0, 0, IF(MOD(A205,$F$3)&lt;$F$3*$F$4/100, $B$4/2, 0))</f>
        <v>0</v>
      </c>
    </row>
    <row r="207" spans="1:4" x14ac:dyDescent="0.3">
      <c r="A207" s="1">
        <f>A206+$A$15</f>
        <v>19.300000000000004</v>
      </c>
      <c r="B207" s="1">
        <f t="shared" si="6"/>
        <v>2.1480769230769212</v>
      </c>
      <c r="C207" s="1">
        <f t="shared" ref="C207:C228" si="7">IF(B207&gt;=0,B207,0)</f>
        <v>2.1480769230769212</v>
      </c>
      <c r="D207" s="1">
        <f>IF(B206&lt;0, 0, IF(MOD(A206,$F$3)&lt;$F$3*$F$4/100, $B$4/2, 0))</f>
        <v>0</v>
      </c>
    </row>
    <row r="208" spans="1:4" x14ac:dyDescent="0.3">
      <c r="A208" s="1">
        <f>A207+$A$15</f>
        <v>19.400000000000006</v>
      </c>
      <c r="B208" s="1">
        <f t="shared" si="6"/>
        <v>2.0980769230769205</v>
      </c>
      <c r="C208" s="1">
        <f t="shared" si="7"/>
        <v>2.0980769230769205</v>
      </c>
      <c r="D208" s="1">
        <f>IF(B207&lt;0, 0, IF(MOD(A207,$F$3)&lt;$F$3*$F$4/100, $B$4/2, 0))</f>
        <v>0</v>
      </c>
    </row>
    <row r="209" spans="1:4" x14ac:dyDescent="0.3">
      <c r="A209" s="1">
        <f t="shared" ref="A209:A228" si="8">A208+$A$15</f>
        <v>19.500000000000007</v>
      </c>
      <c r="B209" s="1">
        <f t="shared" si="6"/>
        <v>2.0480769230769198</v>
      </c>
      <c r="C209" s="1">
        <f t="shared" si="7"/>
        <v>2.0480769230769198</v>
      </c>
      <c r="D209" s="1">
        <f>IF(B208&lt;0, 0, IF(MOD(A208,$F$3)&lt;$F$3*$F$4/100, $B$4/2, 0))</f>
        <v>0</v>
      </c>
    </row>
    <row r="210" spans="1:4" x14ac:dyDescent="0.3">
      <c r="A210" s="1">
        <f t="shared" si="8"/>
        <v>19.600000000000009</v>
      </c>
      <c r="B210" s="1">
        <f t="shared" si="6"/>
        <v>1.9980769230769191</v>
      </c>
      <c r="C210" s="1">
        <f t="shared" si="7"/>
        <v>1.9980769230769191</v>
      </c>
      <c r="D210" s="1">
        <f>IF(B209&lt;0, 0, IF(MOD(A209,$F$3)&lt;$F$3*$F$4/100, $B$4/2, 0))</f>
        <v>0</v>
      </c>
    </row>
    <row r="211" spans="1:4" x14ac:dyDescent="0.3">
      <c r="A211" s="1">
        <f t="shared" si="8"/>
        <v>19.70000000000001</v>
      </c>
      <c r="B211" s="1">
        <f t="shared" si="6"/>
        <v>1.9480769230769184</v>
      </c>
      <c r="C211" s="1">
        <f t="shared" si="7"/>
        <v>1.9480769230769184</v>
      </c>
      <c r="D211" s="1">
        <f>IF(B210&lt;0, 0, IF(MOD(A210,$F$3)&lt;$F$3*$F$4/100, $B$4/2, 0))</f>
        <v>0</v>
      </c>
    </row>
    <row r="212" spans="1:4" x14ac:dyDescent="0.3">
      <c r="A212" s="1">
        <f t="shared" si="8"/>
        <v>19.800000000000011</v>
      </c>
      <c r="B212" s="1">
        <f t="shared" si="6"/>
        <v>1.8980769230769177</v>
      </c>
      <c r="C212" s="1">
        <f t="shared" si="7"/>
        <v>1.8980769230769177</v>
      </c>
      <c r="D212" s="1">
        <f>IF(B211&lt;0, 0, IF(MOD(A211,$F$3)&lt;$F$3*$F$4/100, $B$4/2, 0))</f>
        <v>0</v>
      </c>
    </row>
    <row r="213" spans="1:4" x14ac:dyDescent="0.3">
      <c r="A213" s="1">
        <f t="shared" si="8"/>
        <v>19.900000000000013</v>
      </c>
      <c r="B213" s="1">
        <f t="shared" si="6"/>
        <v>1.848076923076917</v>
      </c>
      <c r="C213" s="1">
        <f t="shared" si="7"/>
        <v>1.848076923076917</v>
      </c>
      <c r="D213" s="1">
        <f>IF(B212&lt;0, 0, IF(MOD(A212,$F$3)&lt;$F$3*$F$4/100, $B$4/2, 0))</f>
        <v>0</v>
      </c>
    </row>
    <row r="214" spans="1:4" x14ac:dyDescent="0.3">
      <c r="A214" s="1">
        <f t="shared" si="8"/>
        <v>20.000000000000014</v>
      </c>
      <c r="B214" s="1">
        <f t="shared" si="6"/>
        <v>1.701923076923084</v>
      </c>
      <c r="C214" s="1">
        <f t="shared" si="7"/>
        <v>1.701923076923084</v>
      </c>
      <c r="D214" s="1">
        <f>IF(B213&lt;0, 0, IF(MOD(A213,$F$3)&lt;$F$3*$F$4/100, $B$4/2, 0))</f>
        <v>0</v>
      </c>
    </row>
    <row r="215" spans="1:4" x14ac:dyDescent="0.3">
      <c r="A215" s="1">
        <f t="shared" si="8"/>
        <v>20.100000000000016</v>
      </c>
      <c r="B215" s="1">
        <f t="shared" si="6"/>
        <v>1.7519230769230847</v>
      </c>
      <c r="C215" s="1">
        <f t="shared" si="7"/>
        <v>1.7519230769230847</v>
      </c>
      <c r="D215" s="1">
        <f>IF(B214&lt;0, 0, IF(MOD(A214,$F$3)&lt;$F$3*$F$4/100, $B$4/2, 0))</f>
        <v>1.5</v>
      </c>
    </row>
    <row r="216" spans="1:4" x14ac:dyDescent="0.3">
      <c r="A216" s="1">
        <f t="shared" si="8"/>
        <v>20.200000000000017</v>
      </c>
      <c r="B216" s="1">
        <f t="shared" si="6"/>
        <v>1.8019230769230854</v>
      </c>
      <c r="C216" s="1">
        <f t="shared" si="7"/>
        <v>1.8019230769230854</v>
      </c>
      <c r="D216" s="1">
        <f>IF(B215&lt;0, 0, IF(MOD(A215,$F$3)&lt;$F$3*$F$4/100, $B$4/2, 0))</f>
        <v>1.5</v>
      </c>
    </row>
    <row r="217" spans="1:4" x14ac:dyDescent="0.3">
      <c r="A217" s="1">
        <f t="shared" si="8"/>
        <v>20.300000000000018</v>
      </c>
      <c r="B217" s="1">
        <f t="shared" si="6"/>
        <v>1.8519230769230861</v>
      </c>
      <c r="C217" s="1">
        <f t="shared" si="7"/>
        <v>1.8519230769230861</v>
      </c>
      <c r="D217" s="1">
        <f>IF(B216&lt;0, 0, IF(MOD(A216,$F$3)&lt;$F$3*$F$4/100, $B$4/2, 0))</f>
        <v>1.5</v>
      </c>
    </row>
    <row r="218" spans="1:4" x14ac:dyDescent="0.3">
      <c r="A218" s="1">
        <f t="shared" si="8"/>
        <v>20.40000000000002</v>
      </c>
      <c r="B218" s="1">
        <f t="shared" si="6"/>
        <v>1.9019230769230868</v>
      </c>
      <c r="C218" s="1">
        <f t="shared" si="7"/>
        <v>1.9019230769230868</v>
      </c>
      <c r="D218" s="1">
        <f>IF(B217&lt;0, 0, IF(MOD(A217,$F$3)&lt;$F$3*$F$4/100, $B$4/2, 0))</f>
        <v>1.5</v>
      </c>
    </row>
    <row r="219" spans="1:4" x14ac:dyDescent="0.3">
      <c r="A219" s="1">
        <f t="shared" si="8"/>
        <v>20.500000000000021</v>
      </c>
      <c r="B219" s="1">
        <f t="shared" si="6"/>
        <v>1.9519230769230875</v>
      </c>
      <c r="C219" s="1">
        <f t="shared" si="7"/>
        <v>1.9519230769230875</v>
      </c>
      <c r="D219" s="1">
        <f>IF(B218&lt;0, 0, IF(MOD(A218,$F$3)&lt;$F$3*$F$4/100, $B$4/2, 0))</f>
        <v>1.5</v>
      </c>
    </row>
    <row r="220" spans="1:4" x14ac:dyDescent="0.3">
      <c r="A220" s="1">
        <f t="shared" si="8"/>
        <v>20.600000000000023</v>
      </c>
      <c r="B220" s="1">
        <f t="shared" si="6"/>
        <v>2.001923076923088</v>
      </c>
      <c r="C220" s="1">
        <f t="shared" si="7"/>
        <v>2.001923076923088</v>
      </c>
      <c r="D220" s="1">
        <f>IF(B219&lt;0, 0, IF(MOD(A219,$F$3)&lt;$F$3*$F$4/100, $B$4/2, 0))</f>
        <v>1.5</v>
      </c>
    </row>
    <row r="221" spans="1:4" x14ac:dyDescent="0.3">
      <c r="A221" s="1">
        <f t="shared" si="8"/>
        <v>20.700000000000024</v>
      </c>
      <c r="B221" s="1">
        <f t="shared" si="6"/>
        <v>2.0519230769230887</v>
      </c>
      <c r="C221" s="1">
        <f t="shared" si="7"/>
        <v>2.0519230769230887</v>
      </c>
      <c r="D221" s="1">
        <f>IF(B220&lt;0, 0, IF(MOD(A220,$F$3)&lt;$F$3*$F$4/100, $B$4/2, 0))</f>
        <v>1.5</v>
      </c>
    </row>
    <row r="222" spans="1:4" x14ac:dyDescent="0.3">
      <c r="A222" s="1">
        <f t="shared" si="8"/>
        <v>20.800000000000026</v>
      </c>
      <c r="B222" s="1">
        <f t="shared" si="6"/>
        <v>2.1019230769230894</v>
      </c>
      <c r="C222" s="1">
        <f t="shared" si="7"/>
        <v>2.1019230769230894</v>
      </c>
      <c r="D222" s="1">
        <f>IF(B221&lt;0, 0, IF(MOD(A221,$F$3)&lt;$F$3*$F$4/100, $B$4/2, 0))</f>
        <v>1.5</v>
      </c>
    </row>
    <row r="223" spans="1:4" x14ac:dyDescent="0.3">
      <c r="A223" s="1">
        <f t="shared" si="8"/>
        <v>20.900000000000027</v>
      </c>
      <c r="B223" s="1">
        <f t="shared" si="6"/>
        <v>2.1519230769230902</v>
      </c>
      <c r="C223" s="1">
        <f t="shared" si="7"/>
        <v>2.1519230769230902</v>
      </c>
      <c r="D223" s="1">
        <f>IF(B222&lt;0, 0, IF(MOD(A222,$F$3)&lt;$F$3*$F$4/100, $B$4/2, 0))</f>
        <v>1.5</v>
      </c>
    </row>
    <row r="224" spans="1:4" x14ac:dyDescent="0.3">
      <c r="A224" s="1">
        <f t="shared" si="8"/>
        <v>21.000000000000028</v>
      </c>
      <c r="B224" s="1">
        <f t="shared" si="6"/>
        <v>2.2019230769230909</v>
      </c>
      <c r="C224" s="1">
        <f t="shared" si="7"/>
        <v>2.2019230769230909</v>
      </c>
      <c r="D224" s="1">
        <f>IF(B223&lt;0, 0, IF(MOD(A223,$F$3)&lt;$F$3*$F$4/100, $B$4/2, 0))</f>
        <v>1.5</v>
      </c>
    </row>
    <row r="225" spans="1:4" x14ac:dyDescent="0.3">
      <c r="A225" s="1">
        <f t="shared" si="8"/>
        <v>21.10000000000003</v>
      </c>
      <c r="B225" s="1">
        <f t="shared" si="6"/>
        <v>2.2519230769230916</v>
      </c>
      <c r="C225" s="1">
        <f t="shared" si="7"/>
        <v>2.2519230769230916</v>
      </c>
      <c r="D225" s="1">
        <f>IF(B224&lt;0, 0, IF(MOD(A224,$F$3)&lt;$F$3*$F$4/100, $B$4/2, 0))</f>
        <v>1.5</v>
      </c>
    </row>
    <row r="226" spans="1:4" x14ac:dyDescent="0.3">
      <c r="A226" s="1">
        <f t="shared" si="8"/>
        <v>21.200000000000031</v>
      </c>
      <c r="B226" s="1">
        <f t="shared" si="6"/>
        <v>2.3019230769230923</v>
      </c>
      <c r="C226" s="1">
        <f t="shared" si="7"/>
        <v>2.3019230769230923</v>
      </c>
      <c r="D226" s="1">
        <f>IF(B225&lt;0, 0, IF(MOD(A225,$F$3)&lt;$F$3*$F$4/100, $B$4/2, 0))</f>
        <v>1.5</v>
      </c>
    </row>
    <row r="227" spans="1:4" x14ac:dyDescent="0.3">
      <c r="A227" s="1">
        <f t="shared" si="8"/>
        <v>21.300000000000033</v>
      </c>
      <c r="B227" s="1">
        <f t="shared" si="6"/>
        <v>2.351923076923093</v>
      </c>
      <c r="C227" s="1">
        <f t="shared" si="7"/>
        <v>2.351923076923093</v>
      </c>
      <c r="D227" s="1">
        <f>IF(B226&lt;0, 0, IF(MOD(A226,$F$3)&lt;$F$3*$F$4/100, $B$4/2, 0))</f>
        <v>1.5</v>
      </c>
    </row>
    <row r="228" spans="1:4" x14ac:dyDescent="0.3">
      <c r="A228" s="1">
        <f t="shared" si="8"/>
        <v>21.400000000000034</v>
      </c>
      <c r="B228" s="1">
        <f t="shared" si="6"/>
        <v>2.4019230769230937</v>
      </c>
      <c r="C228" s="1">
        <f t="shared" si="7"/>
        <v>2.4019230769230937</v>
      </c>
      <c r="D228" s="1">
        <f>IF(B227&lt;0, 0, IF(MOD(A227,$F$3)&lt;$F$3*$F$4/100, $B$4/2, 0))</f>
        <v>1.5</v>
      </c>
    </row>
    <row r="229" spans="1:4" x14ac:dyDescent="0.3">
      <c r="D229" s="1">
        <f>IF(B228&lt;0, 0, IF(MOD(A228,$F$3)&lt;$F$3*$F$4/100, $B$4/2, 0))</f>
        <v>1.5</v>
      </c>
    </row>
    <row r="249" spans="2:2" x14ac:dyDescent="0.3">
      <c r="B249" s="6"/>
    </row>
    <row r="250" spans="2:2" x14ac:dyDescent="0.3">
      <c r="B250" s="6"/>
    </row>
    <row r="251" spans="2:2" x14ac:dyDescent="0.3">
      <c r="B251" s="6"/>
    </row>
    <row r="252" spans="2:2" x14ac:dyDescent="0.3">
      <c r="B252" s="6"/>
    </row>
    <row r="253" spans="2:2" x14ac:dyDescent="0.3">
      <c r="B253" s="6"/>
    </row>
    <row r="254" spans="2:2" x14ac:dyDescent="0.3">
      <c r="B254" s="6"/>
    </row>
    <row r="255" spans="2:2" x14ac:dyDescent="0.3">
      <c r="B255" s="6"/>
    </row>
  </sheetData>
  <mergeCells count="7">
    <mergeCell ref="E27:G27"/>
    <mergeCell ref="H28:H31"/>
    <mergeCell ref="A1:C1"/>
    <mergeCell ref="E1:G1"/>
    <mergeCell ref="A7:C7"/>
    <mergeCell ref="E8:G8"/>
    <mergeCell ref="E17:G1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7A61-6FD9-4E17-A959-AB5E556DE6E9}">
  <dimension ref="A3:C8"/>
  <sheetViews>
    <sheetView workbookViewId="0">
      <selection activeCell="B5" sqref="B5"/>
    </sheetView>
  </sheetViews>
  <sheetFormatPr defaultColWidth="8.88671875" defaultRowHeight="14.4" x14ac:dyDescent="0.3"/>
  <cols>
    <col min="1" max="1" width="13.109375" style="10" customWidth="1"/>
    <col min="2" max="2" width="9.5546875" style="10" bestFit="1" customWidth="1"/>
    <col min="3" max="16384" width="8.88671875" style="10"/>
  </cols>
  <sheetData>
    <row r="3" spans="1:3" x14ac:dyDescent="0.3">
      <c r="A3" s="10" t="s">
        <v>50</v>
      </c>
      <c r="B3" s="10">
        <v>810</v>
      </c>
      <c r="C3" s="10" t="s">
        <v>12</v>
      </c>
    </row>
    <row r="4" spans="1:3" x14ac:dyDescent="0.3">
      <c r="A4" s="10" t="s">
        <v>49</v>
      </c>
      <c r="B4" s="10">
        <v>18</v>
      </c>
      <c r="C4" s="10" t="s">
        <v>46</v>
      </c>
    </row>
    <row r="5" spans="1:3" x14ac:dyDescent="0.3">
      <c r="A5" s="10" t="s">
        <v>51</v>
      </c>
      <c r="B5" s="10">
        <v>8</v>
      </c>
      <c r="C5" s="10" t="s">
        <v>12</v>
      </c>
    </row>
    <row r="7" spans="1:3" x14ac:dyDescent="0.3">
      <c r="A7" s="10" t="s">
        <v>47</v>
      </c>
      <c r="B7" s="11">
        <f>B3/B4^2</f>
        <v>2.5</v>
      </c>
      <c r="C7" s="10" t="s">
        <v>12</v>
      </c>
    </row>
    <row r="8" spans="1:3" x14ac:dyDescent="0.3">
      <c r="A8" s="10" t="s">
        <v>48</v>
      </c>
      <c r="B8" s="12">
        <f>B3/(B3+B5/2)</f>
        <v>0.99508599508599505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0A55308DB7854ABAF346127E6C44AD" ma:contentTypeVersion="15" ma:contentTypeDescription="Crée un document." ma:contentTypeScope="" ma:versionID="8f888631870adb6ca40af5abf08313b7">
  <xsd:schema xmlns:xsd="http://www.w3.org/2001/XMLSchema" xmlns:xs="http://www.w3.org/2001/XMLSchema" xmlns:p="http://schemas.microsoft.com/office/2006/metadata/properties" xmlns:ns2="e9f17f2d-a67e-4d17-aa3e-8e18edca3d0f" xmlns:ns3="845bbf4f-631a-42df-8f9a-d5099e926627" targetNamespace="http://schemas.microsoft.com/office/2006/metadata/properties" ma:root="true" ma:fieldsID="b624f12983b23faab57d968f1f39bd8b" ns2:_="" ns3:_="">
    <xsd:import namespace="e9f17f2d-a67e-4d17-aa3e-8e18edca3d0f"/>
    <xsd:import namespace="845bbf4f-631a-42df-8f9a-d5099e9266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17f2d-a67e-4d17-aa3e-8e18edca3d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fc9fe93-dfbc-4d35-99ca-11763b687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bbf4f-631a-42df-8f9a-d5099e9266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b69ad8d-e149-487f-81c8-53e5e3663966}" ma:internalName="TaxCatchAll" ma:showField="CatchAllData" ma:web="845bbf4f-631a-42df-8f9a-d5099e9266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17f2d-a67e-4d17-aa3e-8e18edca3d0f">
      <Terms xmlns="http://schemas.microsoft.com/office/infopath/2007/PartnerControls"/>
    </lcf76f155ced4ddcb4097134ff3c332f>
    <TaxCatchAll xmlns="845bbf4f-631a-42df-8f9a-d5099e926627" xsi:nil="true"/>
  </documentManagement>
</p:properties>
</file>

<file path=customXml/itemProps1.xml><?xml version="1.0" encoding="utf-8"?>
<ds:datastoreItem xmlns:ds="http://schemas.openxmlformats.org/officeDocument/2006/customXml" ds:itemID="{6394852C-B12B-4B0A-8D9D-A8BB38DA5B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17f2d-a67e-4d17-aa3e-8e18edca3d0f"/>
    <ds:schemaRef ds:uri="845bbf4f-631a-42df-8f9a-d5099e9266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109462-C00E-4076-B92E-E9D50F2A6E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50B1F3-E805-42A8-A3DD-06C78E6C6BF9}">
  <ds:schemaRefs>
    <ds:schemaRef ds:uri="http://schemas.microsoft.com/office/2006/metadata/properties"/>
    <ds:schemaRef ds:uri="http://schemas.microsoft.com/office/infopath/2007/PartnerControls"/>
    <ds:schemaRef ds:uri="e9f17f2d-a67e-4d17-aa3e-8e18edca3d0f"/>
    <ds:schemaRef ds:uri="845bbf4f-631a-42df-8f9a-d5099e9266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Buck</vt:lpstr>
      <vt:lpstr>Boost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ROULAND</dc:creator>
  <cp:lastModifiedBy>Sylvain ROULAND</cp:lastModifiedBy>
  <dcterms:created xsi:type="dcterms:W3CDTF">2015-06-05T18:17:20Z</dcterms:created>
  <dcterms:modified xsi:type="dcterms:W3CDTF">2026-01-29T10:48:01Z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0x010100490A55308DB7854ABAF346127E6C44AD</vt:lpwstr>
  </property>
  <property fmtid="{D5CDD505-2E9C-101B-9397-08002B2CF9AE}" pid="3" name="MediaServiceImageTags">
    <vt:lpwstr/>
  </property>
</Properties>
</file>